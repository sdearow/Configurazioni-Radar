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DM\Ingegneria del Traffico\Area Impianti_REACT\10_2026_Aggiornamenti RADAR\"/>
    </mc:Choice>
  </mc:AlternateContent>
  <xr:revisionPtr revIDLastSave="0" documentId="13_ncr:1_{4E80B373-0C73-49EC-8A8D-FF1607F92A79}" xr6:coauthVersionLast="36" xr6:coauthVersionMax="36" xr10:uidLastSave="{00000000-0000-0000-0000-000000000000}"/>
  <bookViews>
    <workbookView xWindow="0" yWindow="0" windowWidth="23040" windowHeight="9060" xr2:uid="{E08BC7A7-5B8D-4A6A-B4D3-6F9858AD0DC1}"/>
  </bookViews>
  <sheets>
    <sheet name="IMPIANTI SEMAFORICA" sheetId="2" r:id="rId1"/>
  </sheets>
  <definedNames>
    <definedName name="_xlnm._FilterDatabase" localSheetId="0" hidden="1">'IMPIANTI SEMAFORICA'!$A$1:$U$1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2" l="1"/>
  <c r="F58" i="2"/>
  <c r="E58" i="2" l="1"/>
</calcChain>
</file>

<file path=xl/sharedStrings.xml><?xml version="1.0" encoding="utf-8"?>
<sst xmlns="http://schemas.openxmlformats.org/spreadsheetml/2006/main" count="336" uniqueCount="130">
  <si>
    <t>Progr.</t>
  </si>
  <si>
    <t>Lotto</t>
  </si>
  <si>
    <t>Numero-Nome Postazione</t>
  </si>
  <si>
    <t>Codice
Impianto</t>
  </si>
  <si>
    <t>Sistema</t>
  </si>
  <si>
    <t>M9.1</t>
  </si>
  <si>
    <t>101-Cassia/Grottarossa</t>
  </si>
  <si>
    <t>20034</t>
  </si>
  <si>
    <t>Tmacs</t>
  </si>
  <si>
    <t xml:space="preserve">125-Gregorio VII/Monte del Gallo </t>
  </si>
  <si>
    <t>18037</t>
  </si>
  <si>
    <t xml:space="preserve">126-Largo Porta Cavalleggeri  </t>
  </si>
  <si>
    <t>18004</t>
  </si>
  <si>
    <t xml:space="preserve">127-Piazza della Rovere  </t>
  </si>
  <si>
    <t>01031</t>
  </si>
  <si>
    <t xml:space="preserve">128-L.re Sangallo/Ponte PASA  </t>
  </si>
  <si>
    <t>01055</t>
  </si>
  <si>
    <t xml:space="preserve">129-L.re Fiorentini/Ponte V.E. II </t>
  </si>
  <si>
    <t>01077</t>
  </si>
  <si>
    <t xml:space="preserve">130-L.re in Sassia/Ponte V.E.II </t>
  </si>
  <si>
    <t>17017</t>
  </si>
  <si>
    <t xml:space="preserve">132-Piazza Adriana/Crescenzio   </t>
  </si>
  <si>
    <t>17024</t>
  </si>
  <si>
    <t xml:space="preserve">133-Ponte Umberto I/P.zza Tribunali </t>
  </si>
  <si>
    <t>17016</t>
  </si>
  <si>
    <t xml:space="preserve">134-Ponte Umberto I/Zanardelli  </t>
  </si>
  <si>
    <t>01073</t>
  </si>
  <si>
    <t>135-Ponte Regina Margherita/L.re in Augusta</t>
  </si>
  <si>
    <t>02035</t>
  </si>
  <si>
    <t xml:space="preserve">208-Porta Metronia   </t>
  </si>
  <si>
    <t>01052</t>
  </si>
  <si>
    <t xml:space="preserve">209-Caracalla/Colombo/Druso    </t>
  </si>
  <si>
    <t>01048</t>
  </si>
  <si>
    <t xml:space="preserve">210-Colombo/Porta Ardeatina   </t>
  </si>
  <si>
    <t>01004</t>
  </si>
  <si>
    <t xml:space="preserve">211-Colombo/Navigatori    </t>
  </si>
  <si>
    <t>11005</t>
  </si>
  <si>
    <t xml:space="preserve">212-Colombo/Laurentina    </t>
  </si>
  <si>
    <t>11002</t>
  </si>
  <si>
    <t xml:space="preserve">213-Colombo/CiviltÃ  del Lavoro  </t>
  </si>
  <si>
    <t>12001</t>
  </si>
  <si>
    <t xml:space="preserve">215-Colombo/Agiati    </t>
  </si>
  <si>
    <t>11009</t>
  </si>
  <si>
    <t xml:space="preserve">216-Colombo/Leonori    </t>
  </si>
  <si>
    <t>11010</t>
  </si>
  <si>
    <t xml:space="preserve">214-Colombo/Genocchi    </t>
  </si>
  <si>
    <t>11006</t>
  </si>
  <si>
    <t xml:space="preserve">217-Colombo/Europa    </t>
  </si>
  <si>
    <t>12002</t>
  </si>
  <si>
    <t xml:space="preserve">218-Colombo/Umanesimo dir. GRA  </t>
  </si>
  <si>
    <t>12060</t>
  </si>
  <si>
    <t xml:space="preserve">219-Colombo/Umanesimo dir. Centro  </t>
  </si>
  <si>
    <t>12062</t>
  </si>
  <si>
    <t xml:space="preserve">220-Colombo/Oceani    </t>
  </si>
  <si>
    <t>12055</t>
  </si>
  <si>
    <t xml:space="preserve">226-Laurentina/Umanesimo    </t>
  </si>
  <si>
    <t>12020</t>
  </si>
  <si>
    <t xml:space="preserve">227-Laurentina/Vigna Murata   </t>
  </si>
  <si>
    <t>12005</t>
  </si>
  <si>
    <t xml:space="preserve">228-Laurentina/Serafico    </t>
  </si>
  <si>
    <t>12010</t>
  </si>
  <si>
    <t xml:space="preserve">229-Laurentina/Ardigò    </t>
  </si>
  <si>
    <t>11026</t>
  </si>
  <si>
    <t xml:space="preserve">230-Laurentina/Silone    </t>
  </si>
  <si>
    <t>12047</t>
  </si>
  <si>
    <t xml:space="preserve">231-Laurentina/Acqua Acetosa Ostiense  </t>
  </si>
  <si>
    <t>12030</t>
  </si>
  <si>
    <t xml:space="preserve">232-Laurentina/Tor Pagnotta   </t>
  </si>
  <si>
    <t>12104</t>
  </si>
  <si>
    <t xml:space="preserve">263-Bravetta/Silvestri/Consolata    </t>
  </si>
  <si>
    <t>16067</t>
  </si>
  <si>
    <t xml:space="preserve">265-Bravetta/Feltreschi    </t>
  </si>
  <si>
    <t>16086</t>
  </si>
  <si>
    <t xml:space="preserve">262-Bravetta/Scaligeri    </t>
  </si>
  <si>
    <t>16041</t>
  </si>
  <si>
    <t>M9.2</t>
  </si>
  <si>
    <t xml:space="preserve">148-Regina Margherita/Salaria/Liegi   </t>
  </si>
  <si>
    <t>02052</t>
  </si>
  <si>
    <t xml:space="preserve">149-Parioli/Stoppani    </t>
  </si>
  <si>
    <t>02059</t>
  </si>
  <si>
    <t xml:space="preserve">150-Piazza Ungheria/Liegi   </t>
  </si>
  <si>
    <t xml:space="preserve">151-Rossini/Paisiello    </t>
  </si>
  <si>
    <t>02033</t>
  </si>
  <si>
    <t xml:space="preserve">152-Piazza Pitagora/Stoppani   </t>
  </si>
  <si>
    <t>02031</t>
  </si>
  <si>
    <t xml:space="preserve">153-Parioli/Boccioni    </t>
  </si>
  <si>
    <t>02027</t>
  </si>
  <si>
    <t xml:space="preserve">154-Regina Margherita/Nomentana   </t>
  </si>
  <si>
    <t>03008</t>
  </si>
  <si>
    <t xml:space="preserve">156-Regina Margherita/Morgagni   </t>
  </si>
  <si>
    <t>03017</t>
  </si>
  <si>
    <t xml:space="preserve">157-Regina Margherita/UniversitÃ    </t>
  </si>
  <si>
    <t>03015</t>
  </si>
  <si>
    <t xml:space="preserve">158-Regina Elena/Verano   </t>
  </si>
  <si>
    <t>03019</t>
  </si>
  <si>
    <t xml:space="preserve">159-Verano/De Lollis   </t>
  </si>
  <si>
    <t>03027</t>
  </si>
  <si>
    <t xml:space="preserve">163-Nomentana/Graf/Kant    </t>
  </si>
  <si>
    <t>04027</t>
  </si>
  <si>
    <t xml:space="preserve">164-Tiburtina/Portonaccio    </t>
  </si>
  <si>
    <t>05002</t>
  </si>
  <si>
    <t xml:space="preserve">174-Tiburtina/Ottoboni    </t>
  </si>
  <si>
    <t>05012</t>
  </si>
  <si>
    <t xml:space="preserve">175-Tiburtina/Casal Bruciato   </t>
  </si>
  <si>
    <t>05004</t>
  </si>
  <si>
    <t xml:space="preserve">176-Tiburtina/Galla Placidia/Durantini   </t>
  </si>
  <si>
    <t>05003</t>
  </si>
  <si>
    <t xml:space="preserve">177-Tiburtina/Monti Tiburtini dir. Rebibbia </t>
  </si>
  <si>
    <t>05070</t>
  </si>
  <si>
    <t xml:space="preserve">178-Tiburtina/Monti Tiburtini dir. Portonaccio </t>
  </si>
  <si>
    <t>05009</t>
  </si>
  <si>
    <t xml:space="preserve">179-Tiburtina/S.M. Soccorso   </t>
  </si>
  <si>
    <t>05010</t>
  </si>
  <si>
    <t xml:space="preserve">192-Casilina/Torre Spaccata/Tor Tre Teste </t>
  </si>
  <si>
    <t>08009</t>
  </si>
  <si>
    <t xml:space="preserve">136-Piazzale Flaminio/G.B. Vico  </t>
  </si>
  <si>
    <t>02198</t>
  </si>
  <si>
    <t>AUT</t>
  </si>
  <si>
    <t>ATTIVITA' DA FARE</t>
  </si>
  <si>
    <t>SI</t>
  </si>
  <si>
    <t>NO</t>
  </si>
  <si>
    <t>Totale Impianti</t>
  </si>
  <si>
    <t>Con AUT</t>
  </si>
  <si>
    <t>Senza AUT</t>
  </si>
  <si>
    <t>Installare AUT</t>
  </si>
  <si>
    <t>Configurare AUT da remoto/Configurare AUT in lab/Sostituire AUT?!?!</t>
  </si>
  <si>
    <t>AUT da aggiornare, pilota il regolatore pertanto durante l’operazione di aggiornamento è necessaria la presenza di un operatore a campo</t>
  </si>
  <si>
    <t>AUT da aggiornare</t>
  </si>
  <si>
    <t>AUT da SOSTITUIRE - troppo vecchia</t>
  </si>
  <si>
    <t>AUT da aggiornare, AUT con versione recente pertanto bisognerebbe preparare solo la configurazione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</si>
</sst>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0"/>
      <color rgb="FF0000FF"/>
      <name val="Helvetica"/>
    </font>
    <font>
      <b/>
      <sz val="10"/>
      <color theme="1"/>
      <name val="Helvetica"/>
    </font>
    <font>
      <b/>
      <sz val="10"/>
      <name val="Helvetica"/>
    </font>
    <font>
      <sz val="10"/>
      <color rgb="FF0000FF"/>
      <name val="Helvetica"/>
    </font>
    <font>
      <sz val="10"/>
      <name val="Helvetica"/>
    </font>
    <font>
      <sz val="10"/>
      <color theme="1"/>
      <name val="Helvetica"/>
    </font>
    <font>
      <b/>
      <i/>
      <sz val="10"/>
      <color rgb="FFFF0000"/>
      <name val="Helvetica"/>
    </font>
    <font>
      <sz val="12"/>
      <color rgb="FF222222"/>
      <name val="Arial"/>
      <family val="2"/>
    </font>
    <font>
      <b/>
      <sz val="10"/>
      <color rgb="FFFF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4" fontId="5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1FB8-A814-4112-A5B4-67356C1FB916}">
  <dimension ref="A1:H119"/>
  <sheetViews>
    <sheetView tabSelected="1" zoomScale="90" zoomScaleNormal="90" workbookViewId="0">
      <selection activeCell="A112" sqref="A112:XFD128"/>
    </sheetView>
  </sheetViews>
  <sheetFormatPr defaultRowHeight="13.2" x14ac:dyDescent="0.3"/>
  <cols>
    <col min="1" max="1" width="6.5546875" style="18" bestFit="1" customWidth="1"/>
    <col min="2" max="2" width="5.6640625" style="18" bestFit="1" customWidth="1"/>
    <col min="3" max="3" width="38.44140625" style="18" bestFit="1" customWidth="1"/>
    <col min="4" max="4" width="8.44140625" style="18" bestFit="1" customWidth="1"/>
    <col min="5" max="5" width="8.88671875" style="18"/>
    <col min="6" max="6" width="6.88671875" style="18" customWidth="1"/>
    <col min="7" max="7" width="123.44140625" style="18" bestFit="1" customWidth="1"/>
    <col min="8" max="8" width="28.44140625" style="18" bestFit="1" customWidth="1"/>
    <col min="9" max="16384" width="8.88671875" style="18"/>
  </cols>
  <sheetData>
    <row r="1" spans="1:8" ht="26.4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117</v>
      </c>
      <c r="G1" s="12" t="s">
        <v>118</v>
      </c>
      <c r="H1" s="12"/>
    </row>
    <row r="2" spans="1:8" x14ac:dyDescent="0.3">
      <c r="A2" s="5">
        <v>1</v>
      </c>
      <c r="B2" s="5" t="s">
        <v>5</v>
      </c>
      <c r="C2" s="6" t="s">
        <v>6</v>
      </c>
      <c r="D2" s="10" t="s">
        <v>7</v>
      </c>
      <c r="E2" s="7" t="s">
        <v>8</v>
      </c>
      <c r="F2" s="7" t="s">
        <v>119</v>
      </c>
      <c r="G2" s="18" t="s">
        <v>125</v>
      </c>
    </row>
    <row r="3" spans="1:8" x14ac:dyDescent="0.3">
      <c r="A3" s="5">
        <v>2</v>
      </c>
      <c r="B3" s="5" t="s">
        <v>5</v>
      </c>
      <c r="C3" s="6" t="s">
        <v>9</v>
      </c>
      <c r="D3" s="10" t="s">
        <v>10</v>
      </c>
      <c r="E3" s="7" t="s">
        <v>8</v>
      </c>
      <c r="F3" s="7" t="s">
        <v>119</v>
      </c>
      <c r="G3" s="18" t="s">
        <v>125</v>
      </c>
    </row>
    <row r="4" spans="1:8" x14ac:dyDescent="0.3">
      <c r="A4" s="5">
        <v>3</v>
      </c>
      <c r="B4" s="5" t="s">
        <v>5</v>
      </c>
      <c r="C4" s="6" t="s">
        <v>11</v>
      </c>
      <c r="D4" s="10" t="s">
        <v>12</v>
      </c>
      <c r="E4" s="7" t="s">
        <v>8</v>
      </c>
      <c r="F4" s="7" t="s">
        <v>119</v>
      </c>
      <c r="G4" s="18" t="s">
        <v>125</v>
      </c>
    </row>
    <row r="5" spans="1:8" x14ac:dyDescent="0.3">
      <c r="A5" s="5">
        <v>4</v>
      </c>
      <c r="B5" s="5" t="s">
        <v>5</v>
      </c>
      <c r="C5" s="6" t="s">
        <v>13</v>
      </c>
      <c r="D5" s="10" t="s">
        <v>14</v>
      </c>
      <c r="E5" s="7" t="s">
        <v>8</v>
      </c>
      <c r="F5" s="7" t="s">
        <v>120</v>
      </c>
      <c r="G5" s="19" t="s">
        <v>124</v>
      </c>
    </row>
    <row r="6" spans="1:8" x14ac:dyDescent="0.3">
      <c r="A6" s="5">
        <v>5</v>
      </c>
      <c r="B6" s="5" t="s">
        <v>5</v>
      </c>
      <c r="C6" s="6" t="s">
        <v>15</v>
      </c>
      <c r="D6" s="10" t="s">
        <v>16</v>
      </c>
      <c r="E6" s="7" t="s">
        <v>8</v>
      </c>
      <c r="F6" s="7" t="s">
        <v>120</v>
      </c>
      <c r="G6" s="19" t="s">
        <v>124</v>
      </c>
    </row>
    <row r="7" spans="1:8" x14ac:dyDescent="0.3">
      <c r="A7" s="5">
        <v>6</v>
      </c>
      <c r="B7" s="5" t="s">
        <v>5</v>
      </c>
      <c r="C7" s="6" t="s">
        <v>17</v>
      </c>
      <c r="D7" s="10" t="s">
        <v>18</v>
      </c>
      <c r="E7" s="7" t="s">
        <v>8</v>
      </c>
      <c r="F7" s="7" t="s">
        <v>120</v>
      </c>
      <c r="G7" s="19" t="s">
        <v>124</v>
      </c>
    </row>
    <row r="8" spans="1:8" x14ac:dyDescent="0.3">
      <c r="A8" s="5">
        <v>7</v>
      </c>
      <c r="B8" s="5" t="s">
        <v>5</v>
      </c>
      <c r="C8" s="6" t="s">
        <v>19</v>
      </c>
      <c r="D8" s="10" t="s">
        <v>20</v>
      </c>
      <c r="E8" s="7" t="s">
        <v>8</v>
      </c>
      <c r="F8" s="7" t="s">
        <v>120</v>
      </c>
      <c r="G8" s="19" t="s">
        <v>124</v>
      </c>
    </row>
    <row r="9" spans="1:8" x14ac:dyDescent="0.3">
      <c r="A9" s="5">
        <v>8</v>
      </c>
      <c r="B9" s="5" t="s">
        <v>5</v>
      </c>
      <c r="C9" s="6" t="s">
        <v>21</v>
      </c>
      <c r="D9" s="10" t="s">
        <v>22</v>
      </c>
      <c r="E9" s="7" t="s">
        <v>8</v>
      </c>
      <c r="F9" s="7" t="s">
        <v>120</v>
      </c>
      <c r="G9" s="19" t="s">
        <v>124</v>
      </c>
    </row>
    <row r="10" spans="1:8" x14ac:dyDescent="0.3">
      <c r="A10" s="5">
        <v>9</v>
      </c>
      <c r="B10" s="5" t="s">
        <v>5</v>
      </c>
      <c r="C10" s="6" t="s">
        <v>23</v>
      </c>
      <c r="D10" s="10" t="s">
        <v>24</v>
      </c>
      <c r="E10" s="7" t="s">
        <v>8</v>
      </c>
      <c r="F10" s="7" t="s">
        <v>120</v>
      </c>
      <c r="G10" s="19" t="s">
        <v>124</v>
      </c>
    </row>
    <row r="11" spans="1:8" x14ac:dyDescent="0.3">
      <c r="A11" s="5">
        <v>10</v>
      </c>
      <c r="B11" s="5" t="s">
        <v>5</v>
      </c>
      <c r="C11" s="6" t="s">
        <v>25</v>
      </c>
      <c r="D11" s="10" t="s">
        <v>26</v>
      </c>
      <c r="E11" s="7" t="s">
        <v>8</v>
      </c>
      <c r="F11" s="7" t="s">
        <v>120</v>
      </c>
      <c r="G11" s="19" t="s">
        <v>124</v>
      </c>
    </row>
    <row r="12" spans="1:8" x14ac:dyDescent="0.3">
      <c r="A12" s="5">
        <v>11</v>
      </c>
      <c r="B12" s="5" t="s">
        <v>5</v>
      </c>
      <c r="C12" s="6" t="s">
        <v>27</v>
      </c>
      <c r="D12" s="10" t="s">
        <v>28</v>
      </c>
      <c r="E12" s="7" t="s">
        <v>8</v>
      </c>
      <c r="F12" s="7" t="s">
        <v>120</v>
      </c>
      <c r="G12" s="19" t="s">
        <v>124</v>
      </c>
    </row>
    <row r="13" spans="1:8" x14ac:dyDescent="0.3">
      <c r="A13" s="5">
        <v>12</v>
      </c>
      <c r="B13" s="5" t="s">
        <v>75</v>
      </c>
      <c r="C13" s="14" t="s">
        <v>115</v>
      </c>
      <c r="D13" s="15" t="s">
        <v>116</v>
      </c>
      <c r="E13" s="7" t="s">
        <v>8</v>
      </c>
      <c r="F13" s="9" t="s">
        <v>120</v>
      </c>
      <c r="G13" s="19" t="s">
        <v>124</v>
      </c>
    </row>
    <row r="14" spans="1:8" x14ac:dyDescent="0.3">
      <c r="A14" s="5">
        <v>13</v>
      </c>
      <c r="B14" s="5" t="s">
        <v>75</v>
      </c>
      <c r="C14" s="6" t="s">
        <v>76</v>
      </c>
      <c r="D14" s="11" t="s">
        <v>77</v>
      </c>
      <c r="E14" s="8" t="s">
        <v>8</v>
      </c>
      <c r="F14" s="7" t="s">
        <v>120</v>
      </c>
      <c r="G14" s="19" t="s">
        <v>124</v>
      </c>
    </row>
    <row r="15" spans="1:8" x14ac:dyDescent="0.3">
      <c r="A15" s="23">
        <v>14</v>
      </c>
      <c r="B15" s="23" t="s">
        <v>75</v>
      </c>
      <c r="C15" s="24" t="s">
        <v>78</v>
      </c>
      <c r="D15" s="25" t="s">
        <v>79</v>
      </c>
      <c r="E15" s="26" t="s">
        <v>8</v>
      </c>
      <c r="F15" s="27" t="s">
        <v>120</v>
      </c>
      <c r="G15" s="28" t="s">
        <v>124</v>
      </c>
    </row>
    <row r="16" spans="1:8" x14ac:dyDescent="0.3">
      <c r="A16" s="23">
        <v>15</v>
      </c>
      <c r="B16" s="23" t="s">
        <v>75</v>
      </c>
      <c r="C16" s="24" t="s">
        <v>80</v>
      </c>
      <c r="D16" s="25"/>
      <c r="E16" s="26"/>
      <c r="F16" s="27"/>
      <c r="G16" s="28"/>
    </row>
    <row r="17" spans="1:8" x14ac:dyDescent="0.3">
      <c r="A17" s="5">
        <v>16</v>
      </c>
      <c r="B17" s="5" t="s">
        <v>75</v>
      </c>
      <c r="C17" s="6" t="s">
        <v>81</v>
      </c>
      <c r="D17" s="11" t="s">
        <v>82</v>
      </c>
      <c r="E17" s="7" t="s">
        <v>8</v>
      </c>
      <c r="F17" s="7" t="s">
        <v>120</v>
      </c>
      <c r="G17" s="19" t="s">
        <v>124</v>
      </c>
    </row>
    <row r="18" spans="1:8" x14ac:dyDescent="0.3">
      <c r="A18" s="5">
        <v>17</v>
      </c>
      <c r="B18" s="5" t="s">
        <v>75</v>
      </c>
      <c r="C18" s="6" t="s">
        <v>83</v>
      </c>
      <c r="D18" s="11" t="s">
        <v>84</v>
      </c>
      <c r="E18" s="7" t="s">
        <v>8</v>
      </c>
      <c r="F18" s="7" t="s">
        <v>120</v>
      </c>
      <c r="G18" s="19" t="s">
        <v>124</v>
      </c>
    </row>
    <row r="19" spans="1:8" x14ac:dyDescent="0.3">
      <c r="A19" s="5">
        <v>18</v>
      </c>
      <c r="B19" s="5" t="s">
        <v>75</v>
      </c>
      <c r="C19" s="6" t="s">
        <v>85</v>
      </c>
      <c r="D19" s="11" t="s">
        <v>86</v>
      </c>
      <c r="E19" s="7" t="s">
        <v>8</v>
      </c>
      <c r="F19" s="7" t="s">
        <v>120</v>
      </c>
      <c r="G19" s="19" t="s">
        <v>124</v>
      </c>
    </row>
    <row r="20" spans="1:8" x14ac:dyDescent="0.3">
      <c r="A20" s="5">
        <v>19</v>
      </c>
      <c r="B20" s="5" t="s">
        <v>75</v>
      </c>
      <c r="C20" s="6" t="s">
        <v>87</v>
      </c>
      <c r="D20" s="11" t="s">
        <v>88</v>
      </c>
      <c r="E20" s="7" t="s">
        <v>8</v>
      </c>
      <c r="F20" s="7" t="s">
        <v>120</v>
      </c>
      <c r="G20" s="19" t="s">
        <v>124</v>
      </c>
    </row>
    <row r="21" spans="1:8" x14ac:dyDescent="0.3">
      <c r="A21" s="5">
        <v>20</v>
      </c>
      <c r="B21" s="5" t="s">
        <v>75</v>
      </c>
      <c r="C21" s="6" t="s">
        <v>89</v>
      </c>
      <c r="D21" s="11" t="s">
        <v>90</v>
      </c>
      <c r="E21" s="8" t="s">
        <v>8</v>
      </c>
      <c r="F21" s="7" t="s">
        <v>120</v>
      </c>
      <c r="G21" s="19" t="s">
        <v>124</v>
      </c>
    </row>
    <row r="22" spans="1:8" x14ac:dyDescent="0.3">
      <c r="A22" s="5">
        <v>21</v>
      </c>
      <c r="B22" s="5" t="s">
        <v>75</v>
      </c>
      <c r="C22" s="6" t="s">
        <v>91</v>
      </c>
      <c r="D22" s="11" t="s">
        <v>92</v>
      </c>
      <c r="E22" s="7" t="s">
        <v>8</v>
      </c>
      <c r="F22" s="7" t="s">
        <v>120</v>
      </c>
      <c r="G22" s="19" t="s">
        <v>124</v>
      </c>
    </row>
    <row r="23" spans="1:8" ht="15" x14ac:dyDescent="0.3">
      <c r="A23" s="5">
        <v>22</v>
      </c>
      <c r="B23" s="5" t="s">
        <v>75</v>
      </c>
      <c r="C23" s="6" t="s">
        <v>93</v>
      </c>
      <c r="D23" s="11" t="s">
        <v>94</v>
      </c>
      <c r="E23" s="7" t="s">
        <v>8</v>
      </c>
      <c r="F23" s="7" t="s">
        <v>120</v>
      </c>
      <c r="G23" s="19" t="s">
        <v>124</v>
      </c>
      <c r="H23" s="17"/>
    </row>
    <row r="24" spans="1:8" ht="15" x14ac:dyDescent="0.3">
      <c r="A24" s="5">
        <v>23</v>
      </c>
      <c r="B24" s="5" t="s">
        <v>75</v>
      </c>
      <c r="C24" s="6" t="s">
        <v>95</v>
      </c>
      <c r="D24" s="11" t="s">
        <v>96</v>
      </c>
      <c r="E24" s="7" t="s">
        <v>8</v>
      </c>
      <c r="F24" s="9" t="s">
        <v>119</v>
      </c>
      <c r="G24" s="20" t="s">
        <v>126</v>
      </c>
      <c r="H24" s="17"/>
    </row>
    <row r="25" spans="1:8" ht="15" x14ac:dyDescent="0.3">
      <c r="A25" s="5">
        <v>24</v>
      </c>
      <c r="B25" s="5" t="s">
        <v>75</v>
      </c>
      <c r="C25" s="6" t="s">
        <v>97</v>
      </c>
      <c r="D25" s="11" t="s">
        <v>98</v>
      </c>
      <c r="E25" s="7" t="s">
        <v>8</v>
      </c>
      <c r="F25" s="7" t="s">
        <v>119</v>
      </c>
      <c r="G25" s="18" t="s">
        <v>125</v>
      </c>
      <c r="H25" s="17"/>
    </row>
    <row r="26" spans="1:8" ht="15" x14ac:dyDescent="0.3">
      <c r="A26" s="5">
        <v>25</v>
      </c>
      <c r="B26" s="5" t="s">
        <v>75</v>
      </c>
      <c r="C26" s="6" t="s">
        <v>99</v>
      </c>
      <c r="D26" s="11" t="s">
        <v>100</v>
      </c>
      <c r="E26" s="7" t="s">
        <v>8</v>
      </c>
      <c r="F26" s="7" t="s">
        <v>119</v>
      </c>
      <c r="G26" s="20" t="s">
        <v>127</v>
      </c>
      <c r="H26" s="17"/>
    </row>
    <row r="27" spans="1:8" ht="15" x14ac:dyDescent="0.3">
      <c r="A27" s="5">
        <v>26</v>
      </c>
      <c r="B27" s="5" t="s">
        <v>75</v>
      </c>
      <c r="C27" s="6" t="s">
        <v>101</v>
      </c>
      <c r="D27" s="11" t="s">
        <v>102</v>
      </c>
      <c r="E27" s="7" t="s">
        <v>8</v>
      </c>
      <c r="F27" s="7" t="s">
        <v>119</v>
      </c>
      <c r="G27" s="20" t="s">
        <v>128</v>
      </c>
      <c r="H27" s="17"/>
    </row>
    <row r="28" spans="1:8" ht="15" x14ac:dyDescent="0.3">
      <c r="A28" s="5">
        <v>27</v>
      </c>
      <c r="B28" s="5" t="s">
        <v>75</v>
      </c>
      <c r="C28" s="6" t="s">
        <v>103</v>
      </c>
      <c r="D28" s="11" t="s">
        <v>104</v>
      </c>
      <c r="E28" s="7" t="s">
        <v>8</v>
      </c>
      <c r="F28" s="7" t="s">
        <v>119</v>
      </c>
      <c r="G28" s="20" t="s">
        <v>129</v>
      </c>
      <c r="H28" s="17"/>
    </row>
    <row r="29" spans="1:8" ht="15" x14ac:dyDescent="0.3">
      <c r="A29" s="5">
        <v>28</v>
      </c>
      <c r="B29" s="5" t="s">
        <v>75</v>
      </c>
      <c r="C29" s="6" t="s">
        <v>105</v>
      </c>
      <c r="D29" s="11" t="s">
        <v>106</v>
      </c>
      <c r="E29" s="7" t="s">
        <v>8</v>
      </c>
      <c r="F29" s="7" t="s">
        <v>119</v>
      </c>
      <c r="G29" s="20" t="s">
        <v>128</v>
      </c>
      <c r="H29" s="17"/>
    </row>
    <row r="30" spans="1:8" ht="15" x14ac:dyDescent="0.3">
      <c r="A30" s="5">
        <v>29</v>
      </c>
      <c r="B30" s="5" t="s">
        <v>75</v>
      </c>
      <c r="C30" s="6" t="s">
        <v>107</v>
      </c>
      <c r="D30" s="11" t="s">
        <v>108</v>
      </c>
      <c r="E30" s="7" t="s">
        <v>8</v>
      </c>
      <c r="F30" s="7" t="s">
        <v>119</v>
      </c>
      <c r="G30" s="20" t="s">
        <v>128</v>
      </c>
      <c r="H30" s="17"/>
    </row>
    <row r="31" spans="1:8" ht="15" x14ac:dyDescent="0.3">
      <c r="A31" s="5">
        <v>30</v>
      </c>
      <c r="B31" s="5" t="s">
        <v>75</v>
      </c>
      <c r="C31" s="6" t="s">
        <v>109</v>
      </c>
      <c r="D31" s="11" t="s">
        <v>110</v>
      </c>
      <c r="E31" s="7" t="s">
        <v>8</v>
      </c>
      <c r="F31" s="7" t="s">
        <v>119</v>
      </c>
      <c r="G31" s="20" t="s">
        <v>126</v>
      </c>
      <c r="H31" s="17"/>
    </row>
    <row r="32" spans="1:8" x14ac:dyDescent="0.3">
      <c r="A32" s="5">
        <v>31</v>
      </c>
      <c r="B32" s="5" t="s">
        <v>75</v>
      </c>
      <c r="C32" s="6" t="s">
        <v>111</v>
      </c>
      <c r="D32" s="11" t="s">
        <v>112</v>
      </c>
      <c r="E32" s="7" t="s">
        <v>8</v>
      </c>
      <c r="F32" s="7" t="s">
        <v>119</v>
      </c>
      <c r="G32" s="20" t="s">
        <v>126</v>
      </c>
    </row>
    <row r="33" spans="1:7" x14ac:dyDescent="0.3">
      <c r="A33" s="5">
        <v>32</v>
      </c>
      <c r="B33" s="5" t="s">
        <v>75</v>
      </c>
      <c r="C33" s="6" t="s">
        <v>113</v>
      </c>
      <c r="D33" s="11" t="s">
        <v>114</v>
      </c>
      <c r="E33" s="8" t="s">
        <v>8</v>
      </c>
      <c r="F33" s="7" t="s">
        <v>120</v>
      </c>
      <c r="G33" s="19" t="s">
        <v>124</v>
      </c>
    </row>
    <row r="34" spans="1:7" x14ac:dyDescent="0.3">
      <c r="A34" s="5">
        <v>33</v>
      </c>
      <c r="B34" s="5" t="s">
        <v>5</v>
      </c>
      <c r="C34" s="6" t="s">
        <v>29</v>
      </c>
      <c r="D34" s="10" t="s">
        <v>30</v>
      </c>
      <c r="E34" s="7" t="s">
        <v>8</v>
      </c>
      <c r="F34" s="7" t="s">
        <v>119</v>
      </c>
      <c r="G34" s="18" t="s">
        <v>125</v>
      </c>
    </row>
    <row r="35" spans="1:7" x14ac:dyDescent="0.3">
      <c r="A35" s="5">
        <v>34</v>
      </c>
      <c r="B35" s="5" t="s">
        <v>5</v>
      </c>
      <c r="C35" s="6" t="s">
        <v>31</v>
      </c>
      <c r="D35" s="10" t="s">
        <v>32</v>
      </c>
      <c r="E35" s="7" t="s">
        <v>8</v>
      </c>
      <c r="F35" s="7" t="s">
        <v>119</v>
      </c>
      <c r="G35" s="18" t="s">
        <v>125</v>
      </c>
    </row>
    <row r="36" spans="1:7" x14ac:dyDescent="0.3">
      <c r="A36" s="5">
        <v>35</v>
      </c>
      <c r="B36" s="5" t="s">
        <v>5</v>
      </c>
      <c r="C36" s="6" t="s">
        <v>33</v>
      </c>
      <c r="D36" s="10" t="s">
        <v>34</v>
      </c>
      <c r="E36" s="7" t="s">
        <v>8</v>
      </c>
      <c r="F36" s="7" t="s">
        <v>119</v>
      </c>
      <c r="G36" s="18" t="s">
        <v>125</v>
      </c>
    </row>
    <row r="37" spans="1:7" x14ac:dyDescent="0.3">
      <c r="A37" s="5">
        <v>36</v>
      </c>
      <c r="B37" s="5" t="s">
        <v>5</v>
      </c>
      <c r="C37" s="6" t="s">
        <v>35</v>
      </c>
      <c r="D37" s="10" t="s">
        <v>36</v>
      </c>
      <c r="E37" s="7" t="s">
        <v>8</v>
      </c>
      <c r="F37" s="7" t="s">
        <v>119</v>
      </c>
      <c r="G37" s="18" t="s">
        <v>125</v>
      </c>
    </row>
    <row r="38" spans="1:7" x14ac:dyDescent="0.3">
      <c r="A38" s="5">
        <v>37</v>
      </c>
      <c r="B38" s="5" t="s">
        <v>5</v>
      </c>
      <c r="C38" s="6" t="s">
        <v>37</v>
      </c>
      <c r="D38" s="10" t="s">
        <v>38</v>
      </c>
      <c r="E38" s="7" t="s">
        <v>8</v>
      </c>
      <c r="F38" s="7" t="s">
        <v>119</v>
      </c>
      <c r="G38" s="18" t="s">
        <v>125</v>
      </c>
    </row>
    <row r="39" spans="1:7" x14ac:dyDescent="0.3">
      <c r="A39" s="5">
        <v>38</v>
      </c>
      <c r="B39" s="5" t="s">
        <v>5</v>
      </c>
      <c r="C39" s="6" t="s">
        <v>39</v>
      </c>
      <c r="D39" s="10" t="s">
        <v>40</v>
      </c>
      <c r="E39" s="7" t="s">
        <v>8</v>
      </c>
      <c r="F39" s="7" t="s">
        <v>119</v>
      </c>
      <c r="G39" s="18" t="s">
        <v>125</v>
      </c>
    </row>
    <row r="40" spans="1:7" x14ac:dyDescent="0.3">
      <c r="A40" s="5">
        <v>39</v>
      </c>
      <c r="B40" s="5" t="s">
        <v>5</v>
      </c>
      <c r="C40" s="6" t="s">
        <v>45</v>
      </c>
      <c r="D40" s="10" t="s">
        <v>46</v>
      </c>
      <c r="E40" s="7" t="s">
        <v>8</v>
      </c>
      <c r="F40" s="7" t="s">
        <v>119</v>
      </c>
      <c r="G40" s="18" t="s">
        <v>125</v>
      </c>
    </row>
    <row r="41" spans="1:7" x14ac:dyDescent="0.3">
      <c r="A41" s="5">
        <v>40</v>
      </c>
      <c r="B41" s="5" t="s">
        <v>5</v>
      </c>
      <c r="C41" s="6" t="s">
        <v>41</v>
      </c>
      <c r="D41" s="10" t="s">
        <v>42</v>
      </c>
      <c r="E41" s="7" t="s">
        <v>8</v>
      </c>
      <c r="F41" s="7" t="s">
        <v>119</v>
      </c>
      <c r="G41" s="18" t="s">
        <v>125</v>
      </c>
    </row>
    <row r="42" spans="1:7" x14ac:dyDescent="0.3">
      <c r="A42" s="5">
        <v>41</v>
      </c>
      <c r="B42" s="5" t="s">
        <v>5</v>
      </c>
      <c r="C42" s="6" t="s">
        <v>43</v>
      </c>
      <c r="D42" s="10" t="s">
        <v>44</v>
      </c>
      <c r="E42" s="7" t="s">
        <v>8</v>
      </c>
      <c r="F42" s="7" t="s">
        <v>119</v>
      </c>
      <c r="G42" s="18" t="s">
        <v>125</v>
      </c>
    </row>
    <row r="43" spans="1:7" x14ac:dyDescent="0.3">
      <c r="A43" s="5">
        <v>42</v>
      </c>
      <c r="B43" s="5" t="s">
        <v>5</v>
      </c>
      <c r="C43" s="6" t="s">
        <v>47</v>
      </c>
      <c r="D43" s="10" t="s">
        <v>48</v>
      </c>
      <c r="E43" s="7" t="s">
        <v>8</v>
      </c>
      <c r="F43" s="7" t="s">
        <v>119</v>
      </c>
      <c r="G43" s="18" t="s">
        <v>125</v>
      </c>
    </row>
    <row r="44" spans="1:7" x14ac:dyDescent="0.3">
      <c r="A44" s="5">
        <v>43</v>
      </c>
      <c r="B44" s="5" t="s">
        <v>5</v>
      </c>
      <c r="C44" s="6" t="s">
        <v>49</v>
      </c>
      <c r="D44" s="10" t="s">
        <v>50</v>
      </c>
      <c r="E44" s="7" t="s">
        <v>8</v>
      </c>
      <c r="F44" s="7" t="s">
        <v>119</v>
      </c>
      <c r="G44" s="18" t="s">
        <v>125</v>
      </c>
    </row>
    <row r="45" spans="1:7" x14ac:dyDescent="0.3">
      <c r="A45" s="5">
        <v>44</v>
      </c>
      <c r="B45" s="5" t="s">
        <v>5</v>
      </c>
      <c r="C45" s="6" t="s">
        <v>51</v>
      </c>
      <c r="D45" s="10" t="s">
        <v>52</v>
      </c>
      <c r="E45" s="7" t="s">
        <v>8</v>
      </c>
      <c r="F45" s="7" t="s">
        <v>119</v>
      </c>
      <c r="G45" s="18" t="s">
        <v>125</v>
      </c>
    </row>
    <row r="46" spans="1:7" x14ac:dyDescent="0.3">
      <c r="A46" s="5">
        <v>45</v>
      </c>
      <c r="B46" s="5" t="s">
        <v>5</v>
      </c>
      <c r="C46" s="6" t="s">
        <v>53</v>
      </c>
      <c r="D46" s="10" t="s">
        <v>54</v>
      </c>
      <c r="E46" s="7" t="s">
        <v>8</v>
      </c>
      <c r="F46" s="7" t="s">
        <v>119</v>
      </c>
      <c r="G46" s="18" t="s">
        <v>125</v>
      </c>
    </row>
    <row r="47" spans="1:7" x14ac:dyDescent="0.3">
      <c r="A47" s="5">
        <v>46</v>
      </c>
      <c r="B47" s="5" t="s">
        <v>5</v>
      </c>
      <c r="C47" s="6" t="s">
        <v>55</v>
      </c>
      <c r="D47" s="10" t="s">
        <v>56</v>
      </c>
      <c r="E47" s="7" t="s">
        <v>8</v>
      </c>
      <c r="F47" s="7" t="s">
        <v>120</v>
      </c>
      <c r="G47" s="19" t="s">
        <v>124</v>
      </c>
    </row>
    <row r="48" spans="1:7" x14ac:dyDescent="0.3">
      <c r="A48" s="5">
        <v>47</v>
      </c>
      <c r="B48" s="5" t="s">
        <v>5</v>
      </c>
      <c r="C48" s="6" t="s">
        <v>57</v>
      </c>
      <c r="D48" s="10" t="s">
        <v>58</v>
      </c>
      <c r="E48" s="7" t="s">
        <v>8</v>
      </c>
      <c r="F48" s="7" t="s">
        <v>120</v>
      </c>
      <c r="G48" s="19" t="s">
        <v>124</v>
      </c>
    </row>
    <row r="49" spans="1:7" x14ac:dyDescent="0.3">
      <c r="A49" s="5">
        <v>48</v>
      </c>
      <c r="B49" s="5" t="s">
        <v>5</v>
      </c>
      <c r="C49" s="6" t="s">
        <v>59</v>
      </c>
      <c r="D49" s="10" t="s">
        <v>60</v>
      </c>
      <c r="E49" s="7" t="s">
        <v>8</v>
      </c>
      <c r="F49" s="7" t="s">
        <v>120</v>
      </c>
      <c r="G49" s="19" t="s">
        <v>124</v>
      </c>
    </row>
    <row r="50" spans="1:7" x14ac:dyDescent="0.3">
      <c r="A50" s="5">
        <v>49</v>
      </c>
      <c r="B50" s="5" t="s">
        <v>5</v>
      </c>
      <c r="C50" s="6" t="s">
        <v>61</v>
      </c>
      <c r="D50" s="10" t="s">
        <v>62</v>
      </c>
      <c r="E50" s="7" t="s">
        <v>8</v>
      </c>
      <c r="F50" s="7" t="s">
        <v>120</v>
      </c>
      <c r="G50" s="19" t="s">
        <v>124</v>
      </c>
    </row>
    <row r="51" spans="1:7" x14ac:dyDescent="0.3">
      <c r="A51" s="5">
        <v>50</v>
      </c>
      <c r="B51" s="5" t="s">
        <v>5</v>
      </c>
      <c r="C51" s="6" t="s">
        <v>63</v>
      </c>
      <c r="D51" s="10" t="s">
        <v>64</v>
      </c>
      <c r="E51" s="7" t="s">
        <v>8</v>
      </c>
      <c r="F51" s="7" t="s">
        <v>120</v>
      </c>
      <c r="G51" s="19" t="s">
        <v>124</v>
      </c>
    </row>
    <row r="52" spans="1:7" x14ac:dyDescent="0.3">
      <c r="A52" s="5">
        <v>51</v>
      </c>
      <c r="B52" s="5" t="s">
        <v>5</v>
      </c>
      <c r="C52" s="6" t="s">
        <v>65</v>
      </c>
      <c r="D52" s="10" t="s">
        <v>66</v>
      </c>
      <c r="E52" s="7" t="s">
        <v>8</v>
      </c>
      <c r="F52" s="9" t="s">
        <v>120</v>
      </c>
      <c r="G52" s="19" t="s">
        <v>124</v>
      </c>
    </row>
    <row r="53" spans="1:7" x14ac:dyDescent="0.3">
      <c r="A53" s="5">
        <v>52</v>
      </c>
      <c r="B53" s="5" t="s">
        <v>5</v>
      </c>
      <c r="C53" s="6" t="s">
        <v>67</v>
      </c>
      <c r="D53" s="10" t="s">
        <v>68</v>
      </c>
      <c r="E53" s="7" t="s">
        <v>8</v>
      </c>
      <c r="F53" s="7" t="s">
        <v>120</v>
      </c>
      <c r="G53" s="19" t="s">
        <v>124</v>
      </c>
    </row>
    <row r="54" spans="1:7" x14ac:dyDescent="0.3">
      <c r="A54" s="5">
        <v>53</v>
      </c>
      <c r="B54" s="5" t="s">
        <v>5</v>
      </c>
      <c r="C54" s="6" t="s">
        <v>73</v>
      </c>
      <c r="D54" s="10" t="s">
        <v>74</v>
      </c>
      <c r="E54" s="7" t="s">
        <v>8</v>
      </c>
      <c r="F54" s="7" t="s">
        <v>119</v>
      </c>
      <c r="G54" s="18" t="s">
        <v>125</v>
      </c>
    </row>
    <row r="55" spans="1:7" x14ac:dyDescent="0.3">
      <c r="A55" s="5">
        <v>54</v>
      </c>
      <c r="B55" s="5" t="s">
        <v>5</v>
      </c>
      <c r="C55" s="6" t="s">
        <v>69</v>
      </c>
      <c r="D55" s="10" t="s">
        <v>70</v>
      </c>
      <c r="E55" s="7" t="s">
        <v>8</v>
      </c>
      <c r="F55" s="7" t="s">
        <v>120</v>
      </c>
      <c r="G55" s="19" t="s">
        <v>124</v>
      </c>
    </row>
    <row r="56" spans="1:7" x14ac:dyDescent="0.3">
      <c r="A56" s="5">
        <v>55</v>
      </c>
      <c r="B56" s="5" t="s">
        <v>5</v>
      </c>
      <c r="C56" s="6" t="s">
        <v>71</v>
      </c>
      <c r="D56" s="10" t="s">
        <v>72</v>
      </c>
      <c r="E56" s="7" t="s">
        <v>8</v>
      </c>
      <c r="F56" s="7" t="s">
        <v>120</v>
      </c>
      <c r="G56" s="19" t="s">
        <v>124</v>
      </c>
    </row>
    <row r="57" spans="1:7" ht="13.8" thickBot="1" x14ac:dyDescent="0.35">
      <c r="A57" s="5"/>
      <c r="B57" s="5"/>
      <c r="C57" s="6"/>
      <c r="D57" s="11"/>
      <c r="E57" s="8"/>
      <c r="F57" s="7"/>
    </row>
    <row r="58" spans="1:7" ht="13.8" thickBot="1" x14ac:dyDescent="0.35">
      <c r="A58" s="5"/>
      <c r="B58" s="5"/>
      <c r="C58" s="6"/>
      <c r="D58" s="22" t="s">
        <v>121</v>
      </c>
      <c r="E58" s="13">
        <f>COUNTIF(E2:E56,"Tmacs")</f>
        <v>54</v>
      </c>
      <c r="F58" s="16">
        <f>COUNTIF(F2:F56,"SI")</f>
        <v>26</v>
      </c>
      <c r="G58" s="21" t="s">
        <v>122</v>
      </c>
    </row>
    <row r="59" spans="1:7" x14ac:dyDescent="0.3">
      <c r="A59" s="5"/>
      <c r="B59" s="5"/>
      <c r="C59" s="6"/>
      <c r="D59" s="11"/>
      <c r="E59" s="8"/>
      <c r="F59" s="16">
        <f>COUNTIF(F2:F56,"NO")</f>
        <v>28</v>
      </c>
      <c r="G59" s="21" t="s">
        <v>123</v>
      </c>
    </row>
    <row r="60" spans="1:7" x14ac:dyDescent="0.3">
      <c r="A60" s="5"/>
      <c r="B60" s="5"/>
      <c r="C60" s="6"/>
      <c r="D60" s="11"/>
      <c r="E60" s="8"/>
      <c r="F60" s="7"/>
    </row>
    <row r="61" spans="1:7" x14ac:dyDescent="0.3">
      <c r="A61" s="5"/>
      <c r="B61" s="5"/>
      <c r="C61" s="6"/>
      <c r="D61" s="11"/>
      <c r="E61" s="8"/>
      <c r="F61" s="7"/>
    </row>
    <row r="62" spans="1:7" x14ac:dyDescent="0.3">
      <c r="A62" s="5"/>
      <c r="B62" s="5"/>
      <c r="C62" s="6"/>
      <c r="D62" s="11"/>
      <c r="E62" s="8"/>
      <c r="F62" s="7"/>
    </row>
    <row r="63" spans="1:7" x14ac:dyDescent="0.3">
      <c r="A63" s="5"/>
      <c r="B63" s="5"/>
      <c r="C63" s="6"/>
      <c r="D63" s="11"/>
      <c r="E63" s="8"/>
      <c r="F63" s="7"/>
    </row>
    <row r="64" spans="1:7" x14ac:dyDescent="0.3">
      <c r="A64" s="5"/>
      <c r="B64" s="5"/>
      <c r="C64" s="6"/>
      <c r="D64" s="11"/>
      <c r="E64" s="8"/>
      <c r="F64" s="7"/>
    </row>
    <row r="65" spans="1:6" x14ac:dyDescent="0.3">
      <c r="A65" s="5"/>
      <c r="B65" s="5"/>
      <c r="C65" s="6"/>
      <c r="D65" s="11"/>
      <c r="E65" s="8"/>
      <c r="F65" s="7"/>
    </row>
    <row r="66" spans="1:6" x14ac:dyDescent="0.3">
      <c r="A66" s="5"/>
      <c r="B66" s="5"/>
      <c r="C66" s="6"/>
      <c r="D66" s="11"/>
      <c r="E66" s="8"/>
      <c r="F66" s="7"/>
    </row>
    <row r="67" spans="1:6" x14ac:dyDescent="0.3">
      <c r="A67" s="5"/>
      <c r="B67" s="5"/>
      <c r="C67" s="6"/>
      <c r="D67" s="11"/>
      <c r="E67" s="8"/>
      <c r="F67" s="7"/>
    </row>
    <row r="68" spans="1:6" x14ac:dyDescent="0.3">
      <c r="A68" s="5"/>
      <c r="B68" s="5"/>
      <c r="C68" s="6"/>
      <c r="D68" s="11"/>
      <c r="E68" s="8"/>
      <c r="F68" s="7"/>
    </row>
    <row r="69" spans="1:6" x14ac:dyDescent="0.3">
      <c r="A69" s="5"/>
      <c r="B69" s="5"/>
      <c r="C69" s="6"/>
      <c r="D69" s="11"/>
      <c r="E69" s="8"/>
      <c r="F69" s="7"/>
    </row>
    <row r="70" spans="1:6" x14ac:dyDescent="0.3">
      <c r="A70" s="5"/>
      <c r="B70" s="5"/>
      <c r="C70" s="6"/>
      <c r="D70" s="11"/>
      <c r="E70" s="8"/>
      <c r="F70" s="7"/>
    </row>
    <row r="71" spans="1:6" x14ac:dyDescent="0.3">
      <c r="A71" s="5"/>
      <c r="B71" s="5"/>
      <c r="C71" s="6"/>
      <c r="D71" s="11"/>
      <c r="E71" s="8"/>
      <c r="F71" s="7"/>
    </row>
    <row r="72" spans="1:6" x14ac:dyDescent="0.3">
      <c r="A72" s="5"/>
      <c r="B72" s="5"/>
      <c r="C72" s="6"/>
      <c r="D72" s="11"/>
      <c r="E72" s="8"/>
      <c r="F72" s="7"/>
    </row>
    <row r="73" spans="1:6" x14ac:dyDescent="0.3">
      <c r="A73" s="5"/>
      <c r="B73" s="5"/>
      <c r="C73" s="6"/>
      <c r="D73" s="11"/>
      <c r="E73" s="8"/>
      <c r="F73" s="7"/>
    </row>
    <row r="74" spans="1:6" x14ac:dyDescent="0.3">
      <c r="A74" s="5"/>
      <c r="B74" s="5"/>
      <c r="C74" s="6"/>
      <c r="D74" s="11"/>
      <c r="E74" s="8"/>
      <c r="F74" s="7"/>
    </row>
    <row r="75" spans="1:6" x14ac:dyDescent="0.3">
      <c r="A75" s="5"/>
      <c r="B75" s="5"/>
      <c r="C75" s="6"/>
      <c r="D75" s="11"/>
      <c r="E75" s="8"/>
      <c r="F75" s="7"/>
    </row>
    <row r="117" spans="1:6" x14ac:dyDescent="0.3">
      <c r="A117" s="5"/>
      <c r="B117" s="5"/>
      <c r="C117" s="6"/>
      <c r="D117" s="10"/>
      <c r="E117" s="7"/>
      <c r="F117" s="7"/>
    </row>
    <row r="118" spans="1:6" x14ac:dyDescent="0.3">
      <c r="A118" s="5"/>
      <c r="B118" s="5"/>
      <c r="C118" s="6"/>
      <c r="D118" s="10"/>
      <c r="E118" s="7"/>
      <c r="F118" s="7"/>
    </row>
    <row r="119" spans="1:6" x14ac:dyDescent="0.3">
      <c r="A119" s="5"/>
      <c r="B119" s="5"/>
      <c r="C119" s="6"/>
      <c r="D119" s="10"/>
      <c r="E119" s="8"/>
      <c r="F119" s="7"/>
    </row>
  </sheetData>
  <mergeCells count="4">
    <mergeCell ref="D15:D16"/>
    <mergeCell ref="E15:E16"/>
    <mergeCell ref="F15:F16"/>
    <mergeCell ref="G15:G1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IMPIANTI SEMAFORICA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Tuffanelli</dc:creator>
  <cp:lastModifiedBy>Giacomo Tuffanelli</cp:lastModifiedBy>
  <dcterms:created xsi:type="dcterms:W3CDTF">2024-09-26T11:31:46Z</dcterms:created>
  <dcterms:modified xsi:type="dcterms:W3CDTF">2026-01-29T12:36:02Z</dcterms:modified>
</cp:coreProperties>
</file>