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  <sheet name="Foglio2" sheetId="2" state="visible" r:id="rId4"/>
  </sheets>
  <definedNames>
    <definedName function="false" hidden="true" localSheetId="0" name="_xlnm._FilterDatabase" vbProcedure="false">Foglio1!$A$1:$AQ$1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<sst xmlns="http://schemas.openxmlformats.org/spreadsheetml/2006/main" count="954" uniqueCount="457">
  <si>
    <t xml:space="preserve">N.progr.</t>
  </si>
  <si>
    <t xml:space="preserve">codice</t>
  </si>
  <si>
    <t xml:space="preserve">indirizzo</t>
  </si>
  <si>
    <t xml:space="preserve">scavo marciapiede</t>
  </si>
  <si>
    <t xml:space="preserve">scavo carreggiata</t>
  </si>
  <si>
    <t xml:space="preserve">1.1.1.1.120</t>
  </si>
  <si>
    <t xml:space="preserve">1.1.1.1.080</t>
  </si>
  <si>
    <t xml:space="preserve">m.cavo</t>
  </si>
  <si>
    <t xml:space="preserve">interfaccia</t>
  </si>
  <si>
    <t xml:space="preserve">M.1.3.1.1.182.a</t>
  </si>
  <si>
    <t xml:space="preserve">ordine di lavoro</t>
  </si>
  <si>
    <t xml:space="preserve">numero radar</t>
  </si>
  <si>
    <t xml:space="preserve">M.1.1.2.1.020</t>
  </si>
  <si>
    <t xml:space="preserve">M.1.3.1.1.182</t>
  </si>
  <si>
    <t xml:space="preserve">M.3.1.1.2.142</t>
  </si>
  <si>
    <t xml:space="preserve">M.3.1.1.2.150</t>
  </si>
  <si>
    <t xml:space="preserve">M.8.1.7.090</t>
  </si>
  <si>
    <t xml:space="preserve">1.1.1.1.130</t>
  </si>
  <si>
    <t xml:space="preserve">1.1.2.1.010</t>
  </si>
  <si>
    <t xml:space="preserve">1.1.2.1.020</t>
  </si>
  <si>
    <t xml:space="preserve">1.1.2.1.030</t>
  </si>
  <si>
    <t xml:space="preserve">1.1.2.1.040</t>
  </si>
  <si>
    <t xml:space="preserve">1.1.2.1.050</t>
  </si>
  <si>
    <t xml:space="preserve">7.1.1.1.030</t>
  </si>
  <si>
    <t xml:space="preserve">7.1.1.1.010</t>
  </si>
  <si>
    <t xml:space="preserve">B01.01.001.B</t>
  </si>
  <si>
    <t xml:space="preserve">B01.05.014.B</t>
  </si>
  <si>
    <t xml:space="preserve">A03.01.015.J</t>
  </si>
  <si>
    <t xml:space="preserve">B01.05.005</t>
  </si>
  <si>
    <t xml:space="preserve">totale</t>
  </si>
  <si>
    <t xml:space="preserve">data installaz</t>
  </si>
  <si>
    <t xml:space="preserve">config.RSM</t>
  </si>
  <si>
    <t xml:space="preserve">Config.instal.</t>
  </si>
  <si>
    <t xml:space="preserve">da scavare</t>
  </si>
  <si>
    <t xml:space="preserve">planimetria</t>
  </si>
  <si>
    <t xml:space="preserve">ordine sap</t>
  </si>
  <si>
    <t xml:space="preserve">n.radar montati senza cavi</t>
  </si>
  <si>
    <t xml:space="preserve">n.radar montati con cavi senza collegamento</t>
  </si>
  <si>
    <t xml:space="preserve">n.radar finiti</t>
  </si>
  <si>
    <t xml:space="preserve">centralizzati</t>
  </si>
  <si>
    <t xml:space="preserve">manca SIM</t>
  </si>
  <si>
    <t xml:space="preserve">seriali</t>
  </si>
  <si>
    <t xml:space="preserve">03019</t>
  </si>
  <si>
    <t xml:space="preserve">Regina Elena - P.Le San Lorenzo cod. imp. 03019</t>
  </si>
  <si>
    <t xml:space="preserve">101/23/DIMR</t>
  </si>
  <si>
    <t xml:space="preserve">si</t>
  </si>
  <si>
    <t xml:space="preserve">8294785/DIMR</t>
  </si>
  <si>
    <t xml:space="preserve">2 P/S vicino al regolatore</t>
  </si>
  <si>
    <t xml:space="preserve">SI TMACS</t>
  </si>
  <si>
    <t xml:space="preserve">03027</t>
  </si>
  <si>
    <t xml:space="preserve">Tiburtina - V.Lo Verano cod. imp. 03027</t>
  </si>
  <si>
    <t xml:space="preserve">102/23/DIMR</t>
  </si>
  <si>
    <t xml:space="preserve">8294786/DIMR</t>
  </si>
  <si>
    <t xml:space="preserve">03015</t>
  </si>
  <si>
    <t xml:space="preserve">Regina Elena - Università cod. imp. 03015</t>
  </si>
  <si>
    <t xml:space="preserve">99/23/DIMR</t>
  </si>
  <si>
    <t xml:space="preserve">8294560/DIMR</t>
  </si>
  <si>
    <t xml:space="preserve">03017</t>
  </si>
  <si>
    <t xml:space="preserve">Regina Margherita - Morgagni cod. imp. 03017</t>
  </si>
  <si>
    <t xml:space="preserve">100/23/DIMR</t>
  </si>
  <si>
    <t xml:space="preserve">8294561/DIMR</t>
  </si>
  <si>
    <t xml:space="preserve">1 P/S r.margherita</t>
  </si>
  <si>
    <t xml:space="preserve">04031</t>
  </si>
  <si>
    <t xml:space="preserve">Piazza Primoli cod. imp. 04031</t>
  </si>
  <si>
    <t xml:space="preserve">79/23/DIMR</t>
  </si>
  <si>
    <t xml:space="preserve">8294196/DIMR</t>
  </si>
  <si>
    <t xml:space="preserve">SI OMNIA</t>
  </si>
  <si>
    <t xml:space="preserve">04027</t>
  </si>
  <si>
    <t xml:space="preserve">Nomentana-Graf-Kant cod. imp. 04027</t>
  </si>
  <si>
    <t xml:space="preserve">78/23/DIMR</t>
  </si>
  <si>
    <t xml:space="preserve">8294195/DIMR</t>
  </si>
  <si>
    <t xml:space="preserve">2 P/S via nomentana</t>
  </si>
  <si>
    <t xml:space="preserve">02009</t>
  </si>
  <si>
    <t xml:space="preserve">Belle Arti-Ponte Risorgimento cod. imp. 02009</t>
  </si>
  <si>
    <t xml:space="preserve">74/23/DIMR</t>
  </si>
  <si>
    <t xml:space="preserve">8294187/DIMR</t>
  </si>
  <si>
    <t xml:space="preserve">02077</t>
  </si>
  <si>
    <t xml:space="preserve">Piazza Gentile Da Fabriano cod. imp. 02077</t>
  </si>
  <si>
    <t xml:space="preserve">75/23/DIMR</t>
  </si>
  <si>
    <t xml:space="preserve">8294188/DIMR</t>
  </si>
  <si>
    <t xml:space="preserve">02057</t>
  </si>
  <si>
    <t xml:space="preserve">Salaria - Panama cod. imp. 02057</t>
  </si>
  <si>
    <t xml:space="preserve">73/23/DIMR</t>
  </si>
  <si>
    <t xml:space="preserve">8294182/DIMR</t>
  </si>
  <si>
    <t xml:space="preserve">11092</t>
  </si>
  <si>
    <t xml:space="preserve">Ardeatina - Fotografia cod. imp. 11092</t>
  </si>
  <si>
    <t xml:space="preserve">83/23/DIMR</t>
  </si>
  <si>
    <t xml:space="preserve">8294200/DIMR</t>
  </si>
  <si>
    <t xml:space="preserve">OMNIA</t>
  </si>
  <si>
    <t xml:space="preserve">X</t>
  </si>
  <si>
    <t xml:space="preserve">02064</t>
  </si>
  <si>
    <t xml:space="preserve">Ponte Duca D'aosta - Piazza Mancini cod. imp. 02064</t>
  </si>
  <si>
    <t xml:space="preserve">94/23/DIMR</t>
  </si>
  <si>
    <t xml:space="preserve">8294552/DIMR</t>
  </si>
  <si>
    <t xml:space="preserve">08009</t>
  </si>
  <si>
    <t xml:space="preserve">Casilina - Torre Spaccata cod. imp. 08009</t>
  </si>
  <si>
    <t xml:space="preserve">165/23/DIMR</t>
  </si>
  <si>
    <t xml:space="preserve">8297068/DIMR</t>
  </si>
  <si>
    <t xml:space="preserve">2 palina torre spaccata e P/S casilina</t>
  </si>
  <si>
    <t xml:space="preserve">02019</t>
  </si>
  <si>
    <t xml:space="preserve">Lgt Delle Navi - Ponte Matteotti cod. imp. 02019</t>
  </si>
  <si>
    <t xml:space="preserve">86/23/DIMR</t>
  </si>
  <si>
    <t xml:space="preserve">8294544/DIMR</t>
  </si>
  <si>
    <t xml:space="preserve">02052</t>
  </si>
  <si>
    <t xml:space="preserve">Regina Margherita - Salaria cod. imp. 02052</t>
  </si>
  <si>
    <t xml:space="preserve">93/23/DIMR</t>
  </si>
  <si>
    <t xml:space="preserve">ristrutturato da configurare</t>
  </si>
  <si>
    <t xml:space="preserve">8294551/DIMR</t>
  </si>
  <si>
    <t xml:space="preserve">02045</t>
  </si>
  <si>
    <t xml:space="preserve">Salaria - Somalia cod. imp. 02045</t>
  </si>
  <si>
    <t xml:space="preserve">92/23/DIMR</t>
  </si>
  <si>
    <t xml:space="preserve">8294550/DIMR</t>
  </si>
  <si>
    <t xml:space="preserve">1 P/S vicino al regolatore</t>
  </si>
  <si>
    <t xml:space="preserve">02044</t>
  </si>
  <si>
    <t xml:space="preserve">Salaria - Priscilla cod. imp. 02044</t>
  </si>
  <si>
    <t xml:space="preserve">91/23/DIMR</t>
  </si>
  <si>
    <t xml:space="preserve">8294549/DIMR</t>
  </si>
  <si>
    <t xml:space="preserve">02059</t>
  </si>
  <si>
    <t xml:space="preserve">Piazza Ungheria cod. imp. 02059</t>
  </si>
  <si>
    <t xml:space="preserve">239-240/23/DIMR</t>
  </si>
  <si>
    <t xml:space="preserve">8297579/580/DIMR</t>
  </si>
  <si>
    <t xml:space="preserve">02027</t>
  </si>
  <si>
    <t xml:space="preserve">Parioli - Boccioni cod. imp. 02027</t>
  </si>
  <si>
    <t xml:space="preserve">88/23/DIMR</t>
  </si>
  <si>
    <t xml:space="preserve">8294546/DIMR</t>
  </si>
  <si>
    <t xml:space="preserve">02033</t>
  </si>
  <si>
    <t xml:space="preserve">Rossini - Paisiello cod. imp. 02033</t>
  </si>
  <si>
    <t xml:space="preserve">90/23/DIMR</t>
  </si>
  <si>
    <t xml:space="preserve">8294548/DIMR</t>
  </si>
  <si>
    <t xml:space="preserve">02031</t>
  </si>
  <si>
    <t xml:space="preserve">Piazza Pitagora cod. imp. 02031</t>
  </si>
  <si>
    <t xml:space="preserve">89/23/DIMR</t>
  </si>
  <si>
    <t xml:space="preserve">8294547/DIMR</t>
  </si>
  <si>
    <t xml:space="preserve">03008</t>
  </si>
  <si>
    <t xml:space="preserve">Regina Margherita/Nomentana    cod. imp. 03008</t>
  </si>
  <si>
    <t xml:space="preserve">98/23/DIMR</t>
  </si>
  <si>
    <t xml:space="preserve">8294556/DIMR</t>
  </si>
  <si>
    <t xml:space="preserve">03007</t>
  </si>
  <si>
    <t xml:space="preserve">Nomentana/Xxi Aprile    cod. imp. 03007</t>
  </si>
  <si>
    <t xml:space="preserve">97/23/DIMR</t>
  </si>
  <si>
    <t xml:space="preserve">8294555/DIMR</t>
  </si>
  <si>
    <t xml:space="preserve">05002</t>
  </si>
  <si>
    <t xml:space="preserve">Tiburtina/Portonaccio     cod. imp. 05002</t>
  </si>
  <si>
    <t xml:space="preserve">118/23/DIMR</t>
  </si>
  <si>
    <t xml:space="preserve">8295341/DIMR</t>
  </si>
  <si>
    <t xml:space="preserve">03033</t>
  </si>
  <si>
    <t xml:space="preserve">Monti Tiburtini/Lanciani    cod. imp. 03033</t>
  </si>
  <si>
    <t xml:space="preserve">103/23/DIMR</t>
  </si>
  <si>
    <t xml:space="preserve">si tubi diam 40</t>
  </si>
  <si>
    <t xml:space="preserve">8294787/DIMR</t>
  </si>
  <si>
    <t xml:space="preserve">03005</t>
  </si>
  <si>
    <t xml:space="preserve">Nomentana/Gorizia/Nibby     cod. imp. 03005</t>
  </si>
  <si>
    <t xml:space="preserve">96/23/DIMR</t>
  </si>
  <si>
    <t xml:space="preserve">8294554/DIMR</t>
  </si>
  <si>
    <t xml:space="preserve">03009</t>
  </si>
  <si>
    <t xml:space="preserve">Nomentana/Trieste/Spallanzani     cod. imp. 03009</t>
  </si>
  <si>
    <t xml:space="preserve">76/23/DIMR</t>
  </si>
  <si>
    <t xml:space="preserve">8294193/DIMR</t>
  </si>
  <si>
    <t xml:space="preserve">02023</t>
  </si>
  <si>
    <t xml:space="preserve">Nomentana/S.Angela Merici    cod. imp. 02023</t>
  </si>
  <si>
    <t xml:space="preserve">87/23/DIMR</t>
  </si>
  <si>
    <t xml:space="preserve">galleria</t>
  </si>
  <si>
    <t xml:space="preserve">8294545/DIMR</t>
  </si>
  <si>
    <t xml:space="preserve">4 da richiedere aperture gallerie</t>
  </si>
  <si>
    <t xml:space="preserve">04021</t>
  </si>
  <si>
    <t xml:space="preserve">Nomentana/Val D'aosta    cod. imp. 04021</t>
  </si>
  <si>
    <t xml:space="preserve">109/23/DIMR</t>
  </si>
  <si>
    <t xml:space="preserve">8294793/DIMR</t>
  </si>
  <si>
    <t xml:space="preserve">04003</t>
  </si>
  <si>
    <t xml:space="preserve">Nomentana/Sempione     cod. imp. 04003</t>
  </si>
  <si>
    <t xml:space="preserve">107/23/DIMR</t>
  </si>
  <si>
    <t xml:space="preserve">8294791/DIMR</t>
  </si>
  <si>
    <t xml:space="preserve">05006</t>
  </si>
  <si>
    <t xml:space="preserve">Monti Tiburtini/Durantini    cod. imp. 05006</t>
  </si>
  <si>
    <t xml:space="preserve">122/23/DIMR</t>
  </si>
  <si>
    <t xml:space="preserve">8295346/DIMR</t>
  </si>
  <si>
    <t xml:space="preserve">05012</t>
  </si>
  <si>
    <t xml:space="preserve">Tiburtina/Ottoboni     cod. imp. 05012</t>
  </si>
  <si>
    <t xml:space="preserve">153/23/DIMR</t>
  </si>
  <si>
    <t xml:space="preserve">8297055/DIMR</t>
  </si>
  <si>
    <t xml:space="preserve">05004</t>
  </si>
  <si>
    <t xml:space="preserve">Tiburtina/Casal Bruciato    cod. imp. 05004</t>
  </si>
  <si>
    <t xml:space="preserve">120/23/DIMR</t>
  </si>
  <si>
    <t xml:space="preserve">8295344/DIMR</t>
  </si>
  <si>
    <t xml:space="preserve">05003</t>
  </si>
  <si>
    <t xml:space="preserve">Tiburtina/Galla Placidia/Durantini    cod. imp. 05003</t>
  </si>
  <si>
    <t xml:space="preserve">119/23/DIMR</t>
  </si>
  <si>
    <t xml:space="preserve">8295342/DIMR</t>
  </si>
  <si>
    <t xml:space="preserve">05070</t>
  </si>
  <si>
    <t xml:space="preserve">Tiburtina/Monti Tiburtini Dir. Rebibbia  cod. imp. 05070</t>
  </si>
  <si>
    <t xml:space="preserve">155/23/DIMR</t>
  </si>
  <si>
    <t xml:space="preserve">8297057/DIMR</t>
  </si>
  <si>
    <t xml:space="preserve">05009</t>
  </si>
  <si>
    <t xml:space="preserve">Tiburtina/Monti Tiburtini Dir. Portonaccio  cod. imp. 05009</t>
  </si>
  <si>
    <t xml:space="preserve">124/23/DIMR</t>
  </si>
  <si>
    <t xml:space="preserve">8295348/DIMR</t>
  </si>
  <si>
    <t xml:space="preserve">05010</t>
  </si>
  <si>
    <t xml:space="preserve">Tiburtina/S.M. Soccorso    cod. imp. 05010</t>
  </si>
  <si>
    <t xml:space="preserve">125/23/DIMR</t>
  </si>
  <si>
    <t xml:space="preserve">8295349/DIMR</t>
  </si>
  <si>
    <t xml:space="preserve">09028</t>
  </si>
  <si>
    <t xml:space="preserve">Spezia/Caltagirone     cod. imp. 09028</t>
  </si>
  <si>
    <t xml:space="preserve">179/23/DIMR</t>
  </si>
  <si>
    <t xml:space="preserve">8297652/DIMR</t>
  </si>
  <si>
    <t xml:space="preserve">09005</t>
  </si>
  <si>
    <t xml:space="preserve">Tuscolana/Arco Di Travertino/Porta Furba  cod. imp. 09005</t>
  </si>
  <si>
    <t xml:space="preserve">170/23/DIMR</t>
  </si>
  <si>
    <t xml:space="preserve">8297607/DIMR</t>
  </si>
  <si>
    <t xml:space="preserve">10026</t>
  </si>
  <si>
    <t xml:space="preserve">Tuscolana/Pulvillo/Labieno     cod. imp. 10026</t>
  </si>
  <si>
    <t xml:space="preserve">197/23/DIMR</t>
  </si>
  <si>
    <t xml:space="preserve">8298485/DIMR</t>
  </si>
  <si>
    <t xml:space="preserve">4 manca configurazione</t>
  </si>
  <si>
    <t xml:space="preserve">10006</t>
  </si>
  <si>
    <t xml:space="preserve">Tuscolana/Giulio Agricola    cod. imp. 10006</t>
  </si>
  <si>
    <t xml:space="preserve">187/23/DIMR</t>
  </si>
  <si>
    <t xml:space="preserve">8297660/DIMR</t>
  </si>
  <si>
    <t xml:space="preserve">10008</t>
  </si>
  <si>
    <t xml:space="preserve">Tuscolana/Lucio Sestio    cod. imp. 10008</t>
  </si>
  <si>
    <t xml:space="preserve">188/23/DIMR</t>
  </si>
  <si>
    <t xml:space="preserve">8297661/DIMR</t>
  </si>
  <si>
    <t xml:space="preserve">2 P/S tuscolana angolo l.sestio</t>
  </si>
  <si>
    <t xml:space="preserve">10013</t>
  </si>
  <si>
    <t xml:space="preserve">Tuscolana/Quadraro     cod. imp. 10013</t>
  </si>
  <si>
    <t xml:space="preserve">191/23/DIMR</t>
  </si>
  <si>
    <t xml:space="preserve">8297664/DIMR</t>
  </si>
  <si>
    <t xml:space="preserve">10010</t>
  </si>
  <si>
    <t xml:space="preserve">Tuscolana/Buon Consiglio    cod. imp. 10010</t>
  </si>
  <si>
    <t xml:space="preserve">189/23/DIMR</t>
  </si>
  <si>
    <t xml:space="preserve">8297662/DIMR</t>
  </si>
  <si>
    <t xml:space="preserve">10012</t>
  </si>
  <si>
    <t xml:space="preserve">Tuscolana/Metro Porta Furba/Fulvi   cod. imp. 10012</t>
  </si>
  <si>
    <t xml:space="preserve">190/23/DIMR</t>
  </si>
  <si>
    <t xml:space="preserve">8297663/DIMR</t>
  </si>
  <si>
    <t xml:space="preserve">10019</t>
  </si>
  <si>
    <t xml:space="preserve">Appia/Capannellle     cod. imp. 10019</t>
  </si>
  <si>
    <t xml:space="preserve">195/23/DIMR</t>
  </si>
  <si>
    <t xml:space="preserve">8298483/DIMR</t>
  </si>
  <si>
    <t xml:space="preserve">10014</t>
  </si>
  <si>
    <t xml:space="preserve">Appia Nuova/Quarto Miglio   cod. imp. 10014</t>
  </si>
  <si>
    <t xml:space="preserve">8294113/DIMR</t>
  </si>
  <si>
    <t xml:space="preserve">10017</t>
  </si>
  <si>
    <t xml:space="preserve">Appia Nuova/Quadraro    cod. imp. 10017</t>
  </si>
  <si>
    <t xml:space="preserve">194/23/DIMR</t>
  </si>
  <si>
    <t xml:space="preserve">Nomentana/Villini cod. imp. 03097</t>
  </si>
  <si>
    <t xml:space="preserve">Val Di Cogne/Val Di Lanzo cod. imp. 04123</t>
  </si>
  <si>
    <t xml:space="preserve">Piazza Capri cod. imp. 04006</t>
  </si>
  <si>
    <t xml:space="preserve">M.Llo Pilsudski/S.Valentino cod. imp. 02079</t>
  </si>
  <si>
    <t xml:space="preserve">Nomentana/Val D'ossola cod. imp. 04140</t>
  </si>
  <si>
    <t xml:space="preserve">Monti Tiburtini/Feronia cod. imp. 05106</t>
  </si>
  <si>
    <t xml:space="preserve">54</t>
  </si>
  <si>
    <t xml:space="preserve">09014</t>
  </si>
  <si>
    <t xml:space="preserve">Tuscolana/Cave     cod. imp. 09014</t>
  </si>
  <si>
    <t xml:space="preserve">81/23/DIMR</t>
  </si>
  <si>
    <t xml:space="preserve">8294198/DIMR</t>
  </si>
  <si>
    <t xml:space="preserve">09001</t>
  </si>
  <si>
    <t xml:space="preserve">Appia Arco Di Travertini cod. imp. 09001</t>
  </si>
  <si>
    <t xml:space="preserve">150</t>
  </si>
  <si>
    <t xml:space="preserve">80/23/DIMR</t>
  </si>
  <si>
    <t xml:space="preserve">8294197/DIMR</t>
  </si>
  <si>
    <t xml:space="preserve">56</t>
  </si>
  <si>
    <t xml:space="preserve">10002</t>
  </si>
  <si>
    <t xml:space="preserve">Tuscolana - Capanelle cod. imp. 10002</t>
  </si>
  <si>
    <t xml:space="preserve">186/23/DIMR</t>
  </si>
  <si>
    <t xml:space="preserve">8297659/DIMR</t>
  </si>
  <si>
    <t xml:space="preserve">57</t>
  </si>
  <si>
    <t xml:space="preserve">04124</t>
  </si>
  <si>
    <t xml:space="preserve">Tirreno - Valle Scirvia cod. imp. 04124</t>
  </si>
  <si>
    <t xml:space="preserve">58</t>
  </si>
  <si>
    <t xml:space="preserve">02011</t>
  </si>
  <si>
    <t xml:space="preserve">Piazza Fiume cod. imp. 02011</t>
  </si>
  <si>
    <t xml:space="preserve">2 richiedere apertura galleria</t>
  </si>
  <si>
    <t xml:space="preserve">59</t>
  </si>
  <si>
    <t xml:space="preserve">02028</t>
  </si>
  <si>
    <t xml:space="preserve">Pinciana - Puccini cod. imp. 02028</t>
  </si>
  <si>
    <t xml:space="preserve">5</t>
  </si>
  <si>
    <t xml:space="preserve">da montare 2 radar cavi non passano</t>
  </si>
  <si>
    <t xml:space="preserve">60</t>
  </si>
  <si>
    <t xml:space="preserve">02029</t>
  </si>
  <si>
    <t xml:space="preserve">Pinciana - Allegri cod. imp. 02029</t>
  </si>
  <si>
    <t xml:space="preserve">1 via raimondi</t>
  </si>
  <si>
    <t xml:space="preserve">61</t>
  </si>
  <si>
    <t xml:space="preserve">02066</t>
  </si>
  <si>
    <t xml:space="preserve">Corso D'italia Po cod. imp. 02066</t>
  </si>
  <si>
    <t xml:space="preserve">62</t>
  </si>
  <si>
    <t xml:space="preserve">02083</t>
  </si>
  <si>
    <t xml:space="preserve">Corso D'italia Puccini cod. imp. 02083</t>
  </si>
  <si>
    <t xml:space="preserve">1 palina pz5-galleria via campania</t>
  </si>
  <si>
    <t xml:space="preserve">63</t>
  </si>
  <si>
    <t xml:space="preserve">04020</t>
  </si>
  <si>
    <t xml:space="preserve">Salaria Urbe cod. imp. 04020</t>
  </si>
  <si>
    <t xml:space="preserve">64</t>
  </si>
  <si>
    <t xml:space="preserve">06061</t>
  </si>
  <si>
    <t xml:space="preserve">Portonacio Silvio Latino cod. imp. 06061</t>
  </si>
  <si>
    <t xml:space="preserve">65</t>
  </si>
  <si>
    <t xml:space="preserve">07057</t>
  </si>
  <si>
    <t xml:space="preserve">Prenestina Centro Servizi cod. imp. 07057</t>
  </si>
  <si>
    <t xml:space="preserve">66</t>
  </si>
  <si>
    <t xml:space="preserve">07060</t>
  </si>
  <si>
    <t xml:space="preserve">Togliatti - Centro Servizi cod. imp. 07060</t>
  </si>
  <si>
    <t xml:space="preserve">67</t>
  </si>
  <si>
    <t xml:space="preserve">09081</t>
  </si>
  <si>
    <t xml:space="preserve">Arco Di Travertino Carroceto cod. imp. 09081</t>
  </si>
  <si>
    <t xml:space="preserve">68</t>
  </si>
  <si>
    <t xml:space="preserve">10099</t>
  </si>
  <si>
    <t xml:space="preserve">Tuscolana - Occorsio cod. imp. 10099</t>
  </si>
  <si>
    <t xml:space="preserve">69</t>
  </si>
  <si>
    <t xml:space="preserve">09006</t>
  </si>
  <si>
    <t xml:space="preserve">Taranto Monza Aosta cod. imp. 09006</t>
  </si>
  <si>
    <t xml:space="preserve">6</t>
  </si>
  <si>
    <t xml:space="preserve">174/23/DIMR</t>
  </si>
  <si>
    <t xml:space="preserve">8297608/DIMR</t>
  </si>
  <si>
    <t xml:space="preserve">70</t>
  </si>
  <si>
    <t xml:space="preserve">10022</t>
  </si>
  <si>
    <t xml:space="preserve">Appia Nuova Appia Pignatelli cod. imp. 10022</t>
  </si>
  <si>
    <t xml:space="preserve">82/23/DIMR</t>
  </si>
  <si>
    <t xml:space="preserve">ristrutturato, da passare cavo e montare radar, mancano planimetria e configurazione</t>
  </si>
  <si>
    <t xml:space="preserve">8294246/DIMR</t>
  </si>
  <si>
    <t xml:space="preserve">71</t>
  </si>
  <si>
    <t xml:space="preserve">11037</t>
  </si>
  <si>
    <t xml:space="preserve">Ostiense Spizzichino cod. imp. 11037</t>
  </si>
  <si>
    <t xml:space="preserve">202/23/DIMR</t>
  </si>
  <si>
    <t xml:space="preserve">8298490/DIMR</t>
  </si>
  <si>
    <t xml:space="preserve">72</t>
  </si>
  <si>
    <t xml:space="preserve">11014</t>
  </si>
  <si>
    <t xml:space="preserve">Ostiense Porto Fluviale  cod. imp. 11014</t>
  </si>
  <si>
    <t xml:space="preserve">0</t>
  </si>
  <si>
    <t xml:space="preserve">199/23/DIMR</t>
  </si>
  <si>
    <t xml:space="preserve">8298487/DIMR</t>
  </si>
  <si>
    <t xml:space="preserve">73</t>
  </si>
  <si>
    <t xml:space="preserve">11015</t>
  </si>
  <si>
    <t xml:space="preserve">Ostiense San Paolo cod. imp. 11015</t>
  </si>
  <si>
    <t xml:space="preserve">200/23/DIMR</t>
  </si>
  <si>
    <t xml:space="preserve">8298488/DIMR</t>
  </si>
  <si>
    <t xml:space="preserve">1 via ostiense direz piramide</t>
  </si>
  <si>
    <t xml:space="preserve">74</t>
  </si>
  <si>
    <t xml:space="preserve">04014</t>
  </si>
  <si>
    <t xml:space="preserve">Jonio - Col Di Rezia cod. imp. 04014</t>
  </si>
  <si>
    <t xml:space="preserve">108/23/DIMR</t>
  </si>
  <si>
    <t xml:space="preserve">8294792/DIMR</t>
  </si>
  <si>
    <t xml:space="preserve">75</t>
  </si>
  <si>
    <t xml:space="preserve">06020</t>
  </si>
  <si>
    <t xml:space="preserve">Casilina - Pignato cod. imp. 06020</t>
  </si>
  <si>
    <t xml:space="preserve">159/23/DIMR</t>
  </si>
  <si>
    <t xml:space="preserve">8297062/DIMR</t>
  </si>
  <si>
    <t xml:space="preserve">76</t>
  </si>
  <si>
    <t xml:space="preserve">09024</t>
  </si>
  <si>
    <t xml:space="preserve">Spezia/Nola/Monza     cod. imp. 09024</t>
  </si>
  <si>
    <t xml:space="preserve">178/23/DIMR</t>
  </si>
  <si>
    <t xml:space="preserve">8297651/DIMR</t>
  </si>
  <si>
    <t xml:space="preserve">78</t>
  </si>
  <si>
    <t xml:space="preserve">11021</t>
  </si>
  <si>
    <t xml:space="preserve">Grotta Perfetta/Ambrosini    cod. imp. 11021</t>
  </si>
  <si>
    <t xml:space="preserve">201/23/DIMR</t>
  </si>
  <si>
    <t xml:space="preserve">8298489/DIMR</t>
  </si>
  <si>
    <t xml:space="preserve">79</t>
  </si>
  <si>
    <t xml:space="preserve">11049</t>
  </si>
  <si>
    <t xml:space="preserve">Grotta Perfetta/Calderon De La Barca cod. imp. 11049</t>
  </si>
  <si>
    <t xml:space="preserve">203/23/DIMR</t>
  </si>
  <si>
    <t xml:space="preserve">8298491/DIMR</t>
  </si>
  <si>
    <t xml:space="preserve">80</t>
  </si>
  <si>
    <t xml:space="preserve">09047</t>
  </si>
  <si>
    <t xml:space="preserve">Cilicia/Piazza Galeria    cod. imp. 09047</t>
  </si>
  <si>
    <t xml:space="preserve">184/23/DIMR</t>
  </si>
  <si>
    <t xml:space="preserve">8297657/DIMR</t>
  </si>
  <si>
    <t xml:space="preserve">81</t>
  </si>
  <si>
    <t xml:space="preserve">03011</t>
  </si>
  <si>
    <t xml:space="preserve">Piazza Di Porta Pia  cod. imp. 03011</t>
  </si>
  <si>
    <t xml:space="preserve">77/23/DIMR</t>
  </si>
  <si>
    <t xml:space="preserve">8294194/DIMR</t>
  </si>
  <si>
    <t xml:space="preserve">82</t>
  </si>
  <si>
    <t xml:space="preserve">09036</t>
  </si>
  <si>
    <t xml:space="preserve">Appia/Alberone     cod. imp. 09036</t>
  </si>
  <si>
    <t xml:space="preserve">182/23/DIMR</t>
  </si>
  <si>
    <t xml:space="preserve">8297655/DIMR</t>
  </si>
  <si>
    <t xml:space="preserve">84</t>
  </si>
  <si>
    <t xml:space="preserve">09011</t>
  </si>
  <si>
    <t xml:space="preserve">Tuscolana/Monselice/Gela     cod. imp. 09011</t>
  </si>
  <si>
    <t xml:space="preserve">8297614/DIMR</t>
  </si>
  <si>
    <t xml:space="preserve">85</t>
  </si>
  <si>
    <t xml:space="preserve">09013</t>
  </si>
  <si>
    <t xml:space="preserve">Tuscolana/Nocera Umbra/Furio Camillo   cod. imp. 09013</t>
  </si>
  <si>
    <t xml:space="preserve">177/20/DIMR</t>
  </si>
  <si>
    <t xml:space="preserve">8297615/DIMR</t>
  </si>
  <si>
    <t xml:space="preserve">89</t>
  </si>
  <si>
    <t xml:space="preserve">10054</t>
  </si>
  <si>
    <t xml:space="preserve">Appia Pignatelli/S.Tarcisio    cod. imp. 10054</t>
  </si>
  <si>
    <t xml:space="preserve">198/23/DIMR</t>
  </si>
  <si>
    <t xml:space="preserve">8298486/DIMR</t>
  </si>
  <si>
    <t xml:space="preserve">90</t>
  </si>
  <si>
    <t xml:space="preserve">10007</t>
  </si>
  <si>
    <t xml:space="preserve">Appia Pignatelli/Erode Attico cod. imp. 10007</t>
  </si>
  <si>
    <t xml:space="preserve">91</t>
  </si>
  <si>
    <t xml:space="preserve">Piazza Porta Maggiore cod. imp. 01117</t>
  </si>
  <si>
    <t xml:space="preserve">92</t>
  </si>
  <si>
    <t xml:space="preserve">Piazzale Labicano cod. imp. 09004</t>
  </si>
  <si>
    <t xml:space="preserve">93</t>
  </si>
  <si>
    <t xml:space="preserve">Prenestina/Portonaccio cod. imp. 06008</t>
  </si>
  <si>
    <t xml:space="preserve">94</t>
  </si>
  <si>
    <t xml:space="preserve">Prenestina/Tor De Schiavi cod. imp. 06019</t>
  </si>
  <si>
    <t xml:space="preserve">95</t>
  </si>
  <si>
    <t xml:space="preserve">07005</t>
  </si>
  <si>
    <t xml:space="preserve">Togliatti/Prenestina     cod. imp. 07005</t>
  </si>
  <si>
    <t xml:space="preserve">161/23/DIMR</t>
  </si>
  <si>
    <t xml:space="preserve">8297064/DIMR</t>
  </si>
  <si>
    <t xml:space="preserve">96</t>
  </si>
  <si>
    <t xml:space="preserve">09043</t>
  </si>
  <si>
    <t xml:space="preserve">Piazza Tuscolo    cod. imp. 09043</t>
  </si>
  <si>
    <t xml:space="preserve">183/23/DIMR</t>
  </si>
  <si>
    <t xml:space="preserve">8297656/DIMR</t>
  </si>
  <si>
    <t xml:space="preserve">97</t>
  </si>
  <si>
    <t xml:space="preserve">02198</t>
  </si>
  <si>
    <t xml:space="preserve">Piazzale Flaminio/G.B. Vico   cod. imp. 02198</t>
  </si>
  <si>
    <t xml:space="preserve">95/23/DIMR</t>
  </si>
  <si>
    <t xml:space="preserve">8294553/DIMR</t>
  </si>
  <si>
    <t xml:space="preserve">TMACS</t>
  </si>
  <si>
    <t xml:space="preserve">98</t>
  </si>
  <si>
    <t xml:space="preserve">11059</t>
  </si>
  <si>
    <t xml:space="preserve">Sette Chiese/Bompiani    cod. imp. 11059</t>
  </si>
  <si>
    <t xml:space="preserve">205/23/DIMR</t>
  </si>
  <si>
    <t xml:space="preserve">8298493/DIMR</t>
  </si>
  <si>
    <t xml:space="preserve">99</t>
  </si>
  <si>
    <t xml:space="preserve">06018</t>
  </si>
  <si>
    <t xml:space="preserve">Tor De Schiavi/Anagni/Delpino   cod. imp. 06018</t>
  </si>
  <si>
    <t xml:space="preserve">158/23/DIMR</t>
  </si>
  <si>
    <t xml:space="preserve">8297061/DIMR</t>
  </si>
  <si>
    <t xml:space="preserve">100</t>
  </si>
  <si>
    <t xml:space="preserve">Piazza Gondar cod. imp. 02016</t>
  </si>
  <si>
    <t xml:space="preserve">101</t>
  </si>
  <si>
    <t xml:space="preserve">Corso Trieste/Chiana cod. imp. 02074</t>
  </si>
  <si>
    <t xml:space="preserve">intervento</t>
  </si>
  <si>
    <t xml:space="preserve">da fare scavo attrav.A-B-C-D</t>
  </si>
  <si>
    <t xml:space="preserve">da fare scavo attrav.A</t>
  </si>
  <si>
    <t xml:space="preserve">cavi non passano - da fare scavi vedi planimetria</t>
  </si>
  <si>
    <r>
      <rPr>
        <sz val="10"/>
        <color rgb="FF000000"/>
        <rFont val="Times New Roman"/>
        <family val="1"/>
        <charset val="1"/>
      </rPr>
      <t xml:space="preserve">palo con lant.6-7 cavo non passa - </t>
    </r>
    <r>
      <rPr>
        <sz val="10"/>
        <color rgb="FFFF0000"/>
        <rFont val="Times New Roman"/>
        <family val="1"/>
        <charset val="1"/>
      </rPr>
      <t xml:space="preserve">verificare cavidotti</t>
    </r>
  </si>
  <si>
    <t xml:space="preserve">funzionante</t>
  </si>
  <si>
    <t xml:space="preserve">da fare scavo attrav.C</t>
  </si>
  <si>
    <t xml:space="preserve">da fare scavi su tutto l'impianto</t>
  </si>
  <si>
    <t xml:space="preserve">da fare scavo attrav.B-C-D</t>
  </si>
  <si>
    <t xml:space="preserve">da fare scavo attrav.A - B</t>
  </si>
  <si>
    <t xml:space="preserve">ristrutturato - da configurare</t>
  </si>
  <si>
    <t xml:space="preserve">da fare scavi vedi planimetria</t>
  </si>
  <si>
    <r>
      <rPr>
        <sz val="10"/>
        <color rgb="FF000000"/>
        <rFont val="Times New Roman"/>
        <family val="1"/>
        <charset val="1"/>
      </rPr>
      <t xml:space="preserve">cavi non passano - </t>
    </r>
    <r>
      <rPr>
        <sz val="10"/>
        <color rgb="FFFF0000"/>
        <rFont val="Times New Roman"/>
        <family val="1"/>
        <charset val="1"/>
      </rPr>
      <t xml:space="preserve">verificare cavidotti</t>
    </r>
  </si>
  <si>
    <t xml:space="preserve">vedere verifica cavidotti - tutti gli scavi da rifare</t>
  </si>
  <si>
    <t xml:space="preserve">cavidotto del 40 cavi non passano</t>
  </si>
  <si>
    <t xml:space="preserve">da passare cavi in galleria</t>
  </si>
  <si>
    <t xml:space="preserve">da fare scavi</t>
  </si>
  <si>
    <t xml:space="preserve">da fare scavo attrav.A e tratta da lant.4 a lant.5-6</t>
  </si>
  <si>
    <t xml:space="preserve">da fare scavo da lant.6a al p.s. con lant.-1a-4a-2s-5s</t>
  </si>
  <si>
    <t xml:space="preserve">da passare cavi - fare verfiche cavidotti</t>
  </si>
  <si>
    <t xml:space="preserve">da smurare palo-da configurare</t>
  </si>
  <si>
    <t xml:space="preserve">Tuscolana/Metro Porta Furba-Fulvi  cod. imp. 10012</t>
  </si>
  <si>
    <t xml:space="preserve">Nomentana/Val Dossola cod. imp. 04140</t>
  </si>
  <si>
    <t xml:space="preserve">da ultimare passaggio cavi in galleria-fare apertura</t>
  </si>
  <si>
    <t xml:space="preserve">da scoprire chiusino per ultimare passaggio cavi e installare radar</t>
  </si>
  <si>
    <t xml:space="preserve">da fare scavi attrav.d e altro passaggio-vedi planimetria</t>
  </si>
  <si>
    <t xml:space="preserve">2 radar funzioanti-per altro da fare scavi vedi planimetria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</si>
</sst>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[$€]\ * #,##0.00_-;\-[$€]\ * #,##0.00_-;_-[$€]\ * \-??_-;_-@_-"/>
    <numFmt numFmtId="166" formatCode="#,##0.00"/>
    <numFmt numFmtId="167" formatCode="_-&quot;€ &quot;* #,##0.00_-;&quot;-€ &quot;* #,##0.00_-;_-&quot;€ &quot;* \-??_-;_-@_-"/>
    <numFmt numFmtId="168" formatCode="0.00"/>
    <numFmt numFmtId="169" formatCode="@"/>
    <numFmt numFmtId="170" formatCode="_-* #,##0.00&quot; €&quot;_-;\-* #,##0.00&quot; €&quot;_-;_-* \-??&quot; €&quot;_-;_-@_-"/>
    <numFmt numFmtId="171" formatCode="0"/>
    <numFmt numFmtId="172" formatCode="dd/mm/yyyy"/>
    <numFmt numFmtId="173" formatCode="mmm\-yy"/>
  </numFmts>
  <fonts count="1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34"/>
    </font>
    <font>
      <sz val="12"/>
      <name val="Times New Roman"/>
      <family val="1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FF000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17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17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0" fillId="2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Migliaia 2" xfId="21"/>
    <cellStyle name="Normale 2" xfId="22"/>
    <cellStyle name="Normale 2 2" xfId="23"/>
    <cellStyle name="Normale 2 3" xfId="24"/>
    <cellStyle name="Normale 3" xfId="25"/>
    <cellStyle name="Valuta 2" xfId="26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T16" activeCellId="0" sqref="AT16"/>
    </sheetView>
  </sheetViews>
  <sheetFormatPr defaultColWidth="9.33203125" defaultRowHeight="15.75" customHeight="true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9"/>
    <col collapsed="false" customWidth="true" hidden="false" outlineLevel="0" max="3" min="3" style="1" width="67"/>
    <col collapsed="false" customWidth="true" hidden="true" outlineLevel="0" max="4" min="4" style="1" width="23.66"/>
    <col collapsed="false" customWidth="true" hidden="true" outlineLevel="0" max="5" min="5" style="1" width="22.66"/>
    <col collapsed="false" customWidth="true" hidden="true" outlineLevel="0" max="6" min="6" style="1" width="13.33"/>
    <col collapsed="false" customWidth="true" hidden="true" outlineLevel="0" max="7" min="7" style="1" width="14.33"/>
    <col collapsed="false" customWidth="true" hidden="true" outlineLevel="0" max="8" min="8" style="1" width="9.5"/>
    <col collapsed="false" customWidth="true" hidden="true" outlineLevel="0" max="9" min="9" style="2" width="13.66"/>
    <col collapsed="false" customWidth="true" hidden="true" outlineLevel="0" max="10" min="10" style="1" width="18.33"/>
    <col collapsed="false" customWidth="true" hidden="true" outlineLevel="0" max="11" min="11" style="1" width="20.33"/>
    <col collapsed="false" customWidth="true" hidden="true" outlineLevel="0" max="12" min="12" style="3" width="17.16"/>
    <col collapsed="false" customWidth="true" hidden="true" outlineLevel="0" max="16" min="13" style="1" width="16.16"/>
    <col collapsed="false" customWidth="true" hidden="true" outlineLevel="0" max="18" min="17" style="1" width="14.16"/>
    <col collapsed="false" customWidth="true" hidden="true" outlineLevel="0" max="19" min="19" style="1" width="13.33"/>
    <col collapsed="false" customWidth="true" hidden="true" outlineLevel="0" max="20" min="20" style="1" width="14.33"/>
    <col collapsed="false" customWidth="true" hidden="true" outlineLevel="0" max="24" min="21" style="1" width="13.33"/>
    <col collapsed="false" customWidth="true" hidden="true" outlineLevel="0" max="25" min="25" style="1" width="14.33"/>
    <col collapsed="false" customWidth="true" hidden="true" outlineLevel="0" max="26" min="26" style="1" width="13.33"/>
    <col collapsed="false" customWidth="true" hidden="true" outlineLevel="0" max="28" min="27" style="1" width="16.33"/>
    <col collapsed="false" customWidth="true" hidden="true" outlineLevel="0" max="29" min="29" style="1" width="15.5"/>
    <col collapsed="false" customWidth="true" hidden="true" outlineLevel="0" max="30" min="30" style="1" width="13.83"/>
    <col collapsed="false" customWidth="true" hidden="true" outlineLevel="0" max="31" min="31" style="1" width="15.66"/>
    <col collapsed="false" customWidth="true" hidden="false" outlineLevel="0" max="32" min="32" style="1" width="16.66"/>
    <col collapsed="false" customWidth="true" hidden="false" outlineLevel="0" max="33" min="33" style="1" width="15"/>
    <col collapsed="false" customWidth="true" hidden="false" outlineLevel="0" max="34" min="34" style="1" width="16.83"/>
    <col collapsed="false" customWidth="true" hidden="false" outlineLevel="0" max="35" min="35" style="1" width="14.16"/>
    <col collapsed="false" customWidth="true" hidden="false" outlineLevel="0" max="36" min="36" style="1" width="14.33"/>
    <col collapsed="false" customWidth="true" hidden="false" outlineLevel="0" max="37" min="37" style="1" width="17.5"/>
    <col collapsed="false" customWidth="true" hidden="false" outlineLevel="0" max="38" min="38" style="1" width="42.66"/>
    <col collapsed="false" customWidth="true" hidden="false" outlineLevel="0" max="39" min="39" style="1" width="55.33"/>
    <col collapsed="false" customWidth="true" hidden="false" outlineLevel="0" max="40" min="40" style="1" width="15.5"/>
    <col collapsed="false" customWidth="true" hidden="false" outlineLevel="0" max="41" min="41" style="1" width="15.66"/>
    <col collapsed="false" customWidth="true" hidden="false" outlineLevel="0" max="42" min="42" style="1" width="14"/>
    <col collapsed="false" customWidth="true" hidden="false" outlineLevel="0" max="43" min="43" style="1" width="8.33"/>
    <col collapsed="false" customWidth="false" hidden="false" outlineLevel="0" max="16384" min="44" style="1" width="9.33"/>
  </cols>
  <sheetData>
    <row r="1" customFormat="false" ht="37.8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 customFormat="false" ht="15.75" hidden="false" customHeight="false" outlineLevel="0" collapsed="false">
      <c r="A2" s="7" t="n">
        <v>1</v>
      </c>
      <c r="B2" s="8" t="s">
        <v>42</v>
      </c>
      <c r="C2" s="9" t="s">
        <v>43</v>
      </c>
      <c r="D2" s="7" t="n">
        <v>5</v>
      </c>
      <c r="E2" s="7" t="n">
        <v>35</v>
      </c>
      <c r="F2" s="10"/>
      <c r="G2" s="10"/>
      <c r="H2" s="7" t="n">
        <v>250</v>
      </c>
      <c r="I2" s="11" t="n">
        <v>1</v>
      </c>
      <c r="J2" s="10" t="e">
        <f aca="false">+I2*#REF!</f>
        <v>#REF!</v>
      </c>
      <c r="K2" s="12" t="s">
        <v>44</v>
      </c>
      <c r="L2" s="13" t="n">
        <v>4</v>
      </c>
      <c r="M2" s="10" t="e">
        <f aca="false">#REF!*L2</f>
        <v>#REF!</v>
      </c>
      <c r="N2" s="10" t="e">
        <f aca="false">#REF!*L2</f>
        <v>#REF!</v>
      </c>
      <c r="O2" s="10" t="e">
        <f aca="false">#REF!*H2</f>
        <v>#REF!</v>
      </c>
      <c r="P2" s="10" t="e">
        <f aca="false">#REF!*H2</f>
        <v>#REF!</v>
      </c>
      <c r="Q2" s="10" t="e">
        <f aca="false">#REF!</f>
        <v>#REF!</v>
      </c>
      <c r="R2" s="10" t="e">
        <f aca="false">#REF!</f>
        <v>#REF!</v>
      </c>
      <c r="S2" s="10"/>
      <c r="T2" s="10"/>
      <c r="U2" s="10"/>
      <c r="V2" s="10"/>
      <c r="W2" s="10"/>
      <c r="X2" s="10"/>
      <c r="Y2" s="10" t="e">
        <f aca="false">#REF!*E2</f>
        <v>#REF!</v>
      </c>
      <c r="Z2" s="10" t="e">
        <f aca="false">#REF!*D2</f>
        <v>#REF!</v>
      </c>
      <c r="AA2" s="10" t="e">
        <f aca="false">#REF!*E2*10*3</f>
        <v>#REF!</v>
      </c>
      <c r="AB2" s="10" t="e">
        <f aca="false">#REF!*E2*10</f>
        <v>#REF!</v>
      </c>
      <c r="AC2" s="10" t="e">
        <f aca="false">#REF!*D2*5</f>
        <v>#REF!</v>
      </c>
      <c r="AD2" s="10" t="e">
        <f aca="false">#REF!*D2*5</f>
        <v>#REF!</v>
      </c>
      <c r="AE2" s="10" t="e">
        <f aca="false">SUM(M2:AD2)</f>
        <v>#REF!</v>
      </c>
      <c r="AF2" s="14" t="n">
        <v>45111</v>
      </c>
      <c r="AG2" s="14" t="n">
        <v>45110</v>
      </c>
      <c r="AH2" s="15"/>
      <c r="AI2" s="15" t="s">
        <v>45</v>
      </c>
      <c r="AJ2" s="15" t="s">
        <v>45</v>
      </c>
      <c r="AK2" s="16" t="s">
        <v>46</v>
      </c>
      <c r="AL2" s="7" t="n">
        <v>2</v>
      </c>
      <c r="AM2" s="15" t="s">
        <v>47</v>
      </c>
      <c r="AN2" s="15"/>
      <c r="AO2" s="15" t="s">
        <v>48</v>
      </c>
      <c r="AP2" s="15"/>
      <c r="AQ2" s="15"/>
    </row>
    <row r="3" customFormat="false" ht="15.75" hidden="false" customHeight="false" outlineLevel="0" collapsed="false">
      <c r="A3" s="7" t="n">
        <v>2</v>
      </c>
      <c r="B3" s="8" t="s">
        <v>49</v>
      </c>
      <c r="C3" s="9" t="s">
        <v>50</v>
      </c>
      <c r="D3" s="7"/>
      <c r="E3" s="7" t="n">
        <v>10</v>
      </c>
      <c r="F3" s="10"/>
      <c r="G3" s="10"/>
      <c r="H3" s="7" t="n">
        <v>60</v>
      </c>
      <c r="I3" s="11" t="n">
        <v>1</v>
      </c>
      <c r="J3" s="10" t="e">
        <f aca="false">+I3*#REF!</f>
        <v>#REF!</v>
      </c>
      <c r="K3" s="12" t="s">
        <v>51</v>
      </c>
      <c r="L3" s="13" t="n">
        <v>3</v>
      </c>
      <c r="M3" s="10" t="e">
        <f aca="false">#REF!*L3</f>
        <v>#REF!</v>
      </c>
      <c r="N3" s="10" t="e">
        <f aca="false">#REF!*L3</f>
        <v>#REF!</v>
      </c>
      <c r="O3" s="10" t="e">
        <f aca="false">#REF!*H3</f>
        <v>#REF!</v>
      </c>
      <c r="P3" s="10" t="e">
        <f aca="false">#REF!*H3</f>
        <v>#REF!</v>
      </c>
      <c r="Q3" s="10" t="e">
        <f aca="false">#REF!</f>
        <v>#REF!</v>
      </c>
      <c r="R3" s="10" t="e">
        <f aca="false">R2</f>
        <v>#REF!</v>
      </c>
      <c r="S3" s="10"/>
      <c r="T3" s="10"/>
      <c r="U3" s="10"/>
      <c r="V3" s="10"/>
      <c r="W3" s="10"/>
      <c r="X3" s="10"/>
      <c r="Y3" s="10" t="e">
        <f aca="false">#REF!*E3</f>
        <v>#REF!</v>
      </c>
      <c r="Z3" s="10" t="e">
        <f aca="false">#REF!*D3</f>
        <v>#REF!</v>
      </c>
      <c r="AA3" s="10" t="e">
        <f aca="false">#REF!*E3*10*3</f>
        <v>#REF!</v>
      </c>
      <c r="AB3" s="10" t="e">
        <f aca="false">#REF!*E3*10</f>
        <v>#REF!</v>
      </c>
      <c r="AC3" s="10" t="e">
        <f aca="false">#REF!*D3*5</f>
        <v>#REF!</v>
      </c>
      <c r="AD3" s="10" t="e">
        <f aca="false">#REF!*D3*5</f>
        <v>#REF!</v>
      </c>
      <c r="AE3" s="10" t="e">
        <f aca="false">SUM(M3:AD3)</f>
        <v>#REF!</v>
      </c>
      <c r="AF3" s="14" t="n">
        <v>45111</v>
      </c>
      <c r="AG3" s="14" t="n">
        <v>45110</v>
      </c>
      <c r="AH3" s="15"/>
      <c r="AI3" s="15" t="s">
        <v>45</v>
      </c>
      <c r="AJ3" s="15" t="s">
        <v>45</v>
      </c>
      <c r="AK3" s="16" t="s">
        <v>52</v>
      </c>
      <c r="AL3" s="7" t="n">
        <v>2</v>
      </c>
      <c r="AM3" s="15"/>
      <c r="AN3" s="15"/>
      <c r="AO3" s="15" t="s">
        <v>48</v>
      </c>
      <c r="AP3" s="15"/>
      <c r="AQ3" s="15"/>
    </row>
    <row r="4" customFormat="false" ht="15.75" hidden="false" customHeight="false" outlineLevel="0" collapsed="false">
      <c r="A4" s="7" t="n">
        <v>3</v>
      </c>
      <c r="B4" s="8" t="s">
        <v>53</v>
      </c>
      <c r="C4" s="9" t="s">
        <v>54</v>
      </c>
      <c r="D4" s="7"/>
      <c r="E4" s="7" t="n">
        <v>10</v>
      </c>
      <c r="F4" s="10"/>
      <c r="G4" s="10"/>
      <c r="H4" s="7" t="n">
        <v>240</v>
      </c>
      <c r="I4" s="11" t="n">
        <v>1</v>
      </c>
      <c r="J4" s="10" t="e">
        <f aca="false">+I4*#REF!</f>
        <v>#REF!</v>
      </c>
      <c r="K4" s="7" t="s">
        <v>55</v>
      </c>
      <c r="L4" s="13" t="n">
        <v>4</v>
      </c>
      <c r="M4" s="10" t="e">
        <f aca="false">#REF!*L4</f>
        <v>#REF!</v>
      </c>
      <c r="N4" s="10" t="e">
        <f aca="false">#REF!*L4</f>
        <v>#REF!</v>
      </c>
      <c r="O4" s="10" t="e">
        <f aca="false">#REF!*H4</f>
        <v>#REF!</v>
      </c>
      <c r="P4" s="10" t="e">
        <f aca="false">#REF!*H4</f>
        <v>#REF!</v>
      </c>
      <c r="Q4" s="10" t="e">
        <f aca="false">#REF!</f>
        <v>#REF!</v>
      </c>
      <c r="R4" s="10" t="e">
        <f aca="false">R3</f>
        <v>#REF!</v>
      </c>
      <c r="S4" s="10"/>
      <c r="T4" s="10"/>
      <c r="U4" s="10"/>
      <c r="V4" s="10"/>
      <c r="W4" s="10"/>
      <c r="X4" s="10"/>
      <c r="Y4" s="10" t="e">
        <f aca="false">#REF!*E4</f>
        <v>#REF!</v>
      </c>
      <c r="Z4" s="10" t="e">
        <f aca="false">#REF!*D4</f>
        <v>#REF!</v>
      </c>
      <c r="AA4" s="10" t="e">
        <f aca="false">#REF!*E4*10*3</f>
        <v>#REF!</v>
      </c>
      <c r="AB4" s="10" t="e">
        <f aca="false">#REF!*E4*10</f>
        <v>#REF!</v>
      </c>
      <c r="AC4" s="10" t="e">
        <f aca="false">#REF!*D4*5</f>
        <v>#REF!</v>
      </c>
      <c r="AD4" s="10" t="e">
        <f aca="false">#REF!*D4*5</f>
        <v>#REF!</v>
      </c>
      <c r="AE4" s="10" t="e">
        <f aca="false">SUM(M4:AD4)</f>
        <v>#REF!</v>
      </c>
      <c r="AF4" s="14" t="n">
        <v>45119</v>
      </c>
      <c r="AG4" s="14" t="n">
        <v>45110</v>
      </c>
      <c r="AH4" s="15"/>
      <c r="AI4" s="15" t="s">
        <v>45</v>
      </c>
      <c r="AJ4" s="15" t="s">
        <v>45</v>
      </c>
      <c r="AK4" s="16" t="s">
        <v>56</v>
      </c>
      <c r="AL4" s="7" t="n">
        <v>4</v>
      </c>
      <c r="AM4" s="15"/>
      <c r="AN4" s="15"/>
      <c r="AO4" s="15" t="s">
        <v>48</v>
      </c>
      <c r="AP4" s="15"/>
      <c r="AQ4" s="15"/>
    </row>
    <row r="5" customFormat="false" ht="15.75" hidden="false" customHeight="false" outlineLevel="0" collapsed="false">
      <c r="A5" s="7" t="n">
        <v>4</v>
      </c>
      <c r="B5" s="8" t="s">
        <v>57</v>
      </c>
      <c r="C5" s="9" t="s">
        <v>58</v>
      </c>
      <c r="D5" s="7"/>
      <c r="E5" s="7" t="n">
        <v>10</v>
      </c>
      <c r="F5" s="10"/>
      <c r="G5" s="10"/>
      <c r="H5" s="7" t="n">
        <v>105</v>
      </c>
      <c r="I5" s="11" t="n">
        <v>1</v>
      </c>
      <c r="J5" s="10" t="e">
        <f aca="false">+I5*#REF!</f>
        <v>#REF!</v>
      </c>
      <c r="K5" s="7" t="s">
        <v>59</v>
      </c>
      <c r="L5" s="13" t="n">
        <v>4</v>
      </c>
      <c r="M5" s="10" t="e">
        <f aca="false">#REF!*L5</f>
        <v>#REF!</v>
      </c>
      <c r="N5" s="10" t="e">
        <f aca="false">#REF!*L5</f>
        <v>#REF!</v>
      </c>
      <c r="O5" s="10" t="e">
        <f aca="false">#REF!*H5</f>
        <v>#REF!</v>
      </c>
      <c r="P5" s="10" t="e">
        <f aca="false">#REF!*H5</f>
        <v>#REF!</v>
      </c>
      <c r="Q5" s="10" t="e">
        <f aca="false">#REF!</f>
        <v>#REF!</v>
      </c>
      <c r="R5" s="10" t="e">
        <f aca="false">R4</f>
        <v>#REF!</v>
      </c>
      <c r="S5" s="10"/>
      <c r="T5" s="10"/>
      <c r="U5" s="10"/>
      <c r="V5" s="10"/>
      <c r="W5" s="10"/>
      <c r="X5" s="10"/>
      <c r="Y5" s="10" t="e">
        <f aca="false">#REF!*E5</f>
        <v>#REF!</v>
      </c>
      <c r="Z5" s="10" t="e">
        <f aca="false">#REF!*D5</f>
        <v>#REF!</v>
      </c>
      <c r="AA5" s="10" t="e">
        <f aca="false">#REF!*E5*10*3</f>
        <v>#REF!</v>
      </c>
      <c r="AB5" s="10" t="e">
        <f aca="false">#REF!*E5*10</f>
        <v>#REF!</v>
      </c>
      <c r="AC5" s="10" t="e">
        <f aca="false">#REF!*D5*5</f>
        <v>#REF!</v>
      </c>
      <c r="AD5" s="10" t="e">
        <f aca="false">#REF!*D5*5</f>
        <v>#REF!</v>
      </c>
      <c r="AE5" s="10" t="e">
        <f aca="false">SUM(M5:AD5)</f>
        <v>#REF!</v>
      </c>
      <c r="AF5" s="14" t="n">
        <v>45117</v>
      </c>
      <c r="AG5" s="14" t="n">
        <v>45110</v>
      </c>
      <c r="AH5" s="15"/>
      <c r="AI5" s="15" t="s">
        <v>45</v>
      </c>
      <c r="AJ5" s="15"/>
      <c r="AK5" s="16" t="s">
        <v>60</v>
      </c>
      <c r="AL5" s="7" t="s">
        <v>61</v>
      </c>
      <c r="AM5" s="15" t="n">
        <v>3</v>
      </c>
      <c r="AN5" s="15"/>
      <c r="AO5" s="15" t="s">
        <v>48</v>
      </c>
      <c r="AP5" s="15"/>
      <c r="AQ5" s="15"/>
    </row>
    <row r="6" customFormat="false" ht="15.75" hidden="false" customHeight="false" outlineLevel="0" collapsed="false">
      <c r="A6" s="7" t="n">
        <v>5</v>
      </c>
      <c r="B6" s="8" t="s">
        <v>62</v>
      </c>
      <c r="C6" s="17" t="s">
        <v>63</v>
      </c>
      <c r="D6" s="7"/>
      <c r="E6" s="7"/>
      <c r="F6" s="10"/>
      <c r="G6" s="10"/>
      <c r="H6" s="7" t="n">
        <v>300</v>
      </c>
      <c r="I6" s="11" t="n">
        <v>2</v>
      </c>
      <c r="J6" s="10" t="e">
        <f aca="false">+I6*#REF!</f>
        <v>#REF!</v>
      </c>
      <c r="K6" s="7" t="s">
        <v>64</v>
      </c>
      <c r="L6" s="13" t="n">
        <v>6</v>
      </c>
      <c r="M6" s="10" t="e">
        <f aca="false">#REF!*L6</f>
        <v>#REF!</v>
      </c>
      <c r="N6" s="10" t="e">
        <f aca="false">#REF!*L6</f>
        <v>#REF!</v>
      </c>
      <c r="O6" s="10" t="e">
        <f aca="false">#REF!*H6</f>
        <v>#REF!</v>
      </c>
      <c r="P6" s="10" t="e">
        <f aca="false">#REF!*H6</f>
        <v>#REF!</v>
      </c>
      <c r="Q6" s="10" t="e">
        <f aca="false">#REF!</f>
        <v>#REF!</v>
      </c>
      <c r="R6" s="10" t="e">
        <f aca="false">R5</f>
        <v>#REF!</v>
      </c>
      <c r="S6" s="10"/>
      <c r="T6" s="10"/>
      <c r="U6" s="10"/>
      <c r="V6" s="10"/>
      <c r="W6" s="10"/>
      <c r="X6" s="10"/>
      <c r="Y6" s="10" t="e">
        <f aca="false">#REF!*E6</f>
        <v>#REF!</v>
      </c>
      <c r="Z6" s="10" t="e">
        <f aca="false">#REF!*D6</f>
        <v>#REF!</v>
      </c>
      <c r="AA6" s="10" t="e">
        <f aca="false">#REF!*E6*10*3</f>
        <v>#REF!</v>
      </c>
      <c r="AB6" s="10" t="e">
        <f aca="false">#REF!*E6*10</f>
        <v>#REF!</v>
      </c>
      <c r="AC6" s="10" t="e">
        <f aca="false">#REF!*D6*5</f>
        <v>#REF!</v>
      </c>
      <c r="AD6" s="10" t="e">
        <f aca="false">#REF!*D6*5</f>
        <v>#REF!</v>
      </c>
      <c r="AE6" s="10" t="e">
        <f aca="false">SUM(M6:AD6)</f>
        <v>#REF!</v>
      </c>
      <c r="AF6" s="14" t="n">
        <v>45091</v>
      </c>
      <c r="AG6" s="14" t="n">
        <v>45084</v>
      </c>
      <c r="AH6" s="14" t="n">
        <v>45258</v>
      </c>
      <c r="AI6" s="15"/>
      <c r="AJ6" s="15"/>
      <c r="AK6" s="16" t="s">
        <v>65</v>
      </c>
      <c r="AL6" s="7"/>
      <c r="AM6" s="15"/>
      <c r="AN6" s="15" t="n">
        <v>6</v>
      </c>
      <c r="AO6" s="15" t="s">
        <v>66</v>
      </c>
      <c r="AP6" s="15"/>
      <c r="AQ6" s="15"/>
    </row>
    <row r="7" customFormat="false" ht="15.75" hidden="false" customHeight="false" outlineLevel="0" collapsed="false">
      <c r="A7" s="7" t="n">
        <v>6</v>
      </c>
      <c r="B7" s="8" t="s">
        <v>67</v>
      </c>
      <c r="C7" s="9" t="s">
        <v>68</v>
      </c>
      <c r="D7" s="7"/>
      <c r="E7" s="7" t="n">
        <v>11</v>
      </c>
      <c r="F7" s="10"/>
      <c r="G7" s="10"/>
      <c r="H7" s="7" t="n">
        <v>70</v>
      </c>
      <c r="I7" s="11" t="n">
        <v>1</v>
      </c>
      <c r="J7" s="10" t="e">
        <f aca="false">+I7*#REF!</f>
        <v>#REF!</v>
      </c>
      <c r="K7" s="7" t="s">
        <v>69</v>
      </c>
      <c r="L7" s="13" t="n">
        <v>4</v>
      </c>
      <c r="M7" s="10" t="e">
        <f aca="false">#REF!*L7</f>
        <v>#REF!</v>
      </c>
      <c r="N7" s="10" t="e">
        <f aca="false">#REF!*L7</f>
        <v>#REF!</v>
      </c>
      <c r="O7" s="10" t="e">
        <f aca="false">#REF!*H7</f>
        <v>#REF!</v>
      </c>
      <c r="P7" s="10" t="e">
        <f aca="false">#REF!*H7</f>
        <v>#REF!</v>
      </c>
      <c r="Q7" s="10" t="e">
        <f aca="false">#REF!</f>
        <v>#REF!</v>
      </c>
      <c r="R7" s="10" t="e">
        <f aca="false">R6</f>
        <v>#REF!</v>
      </c>
      <c r="S7" s="10"/>
      <c r="T7" s="10"/>
      <c r="U7" s="10"/>
      <c r="V7" s="10"/>
      <c r="W7" s="10"/>
      <c r="X7" s="10"/>
      <c r="Y7" s="10" t="e">
        <f aca="false">#REF!*E7</f>
        <v>#REF!</v>
      </c>
      <c r="Z7" s="10" t="e">
        <f aca="false">#REF!*D7</f>
        <v>#REF!</v>
      </c>
      <c r="AA7" s="10" t="e">
        <f aca="false">#REF!*E7*10*3</f>
        <v>#REF!</v>
      </c>
      <c r="AB7" s="10" t="e">
        <f aca="false">#REF!*E7*10</f>
        <v>#REF!</v>
      </c>
      <c r="AC7" s="10" t="e">
        <f aca="false">#REF!*D7*5</f>
        <v>#REF!</v>
      </c>
      <c r="AD7" s="10" t="e">
        <f aca="false">#REF!*D7*5</f>
        <v>#REF!</v>
      </c>
      <c r="AE7" s="10" t="e">
        <f aca="false">SUM(M7:AD7)</f>
        <v>#REF!</v>
      </c>
      <c r="AF7" s="14" t="n">
        <v>45090</v>
      </c>
      <c r="AG7" s="14" t="n">
        <v>45084</v>
      </c>
      <c r="AH7" s="15"/>
      <c r="AI7" s="15" t="s">
        <v>45</v>
      </c>
      <c r="AJ7" s="15" t="s">
        <v>45</v>
      </c>
      <c r="AK7" s="16" t="s">
        <v>70</v>
      </c>
      <c r="AL7" s="7" t="s">
        <v>71</v>
      </c>
      <c r="AM7" s="15" t="n">
        <v>2</v>
      </c>
      <c r="AN7" s="15"/>
      <c r="AO7" s="15" t="s">
        <v>48</v>
      </c>
      <c r="AP7" s="15"/>
      <c r="AQ7" s="15"/>
    </row>
    <row r="8" customFormat="false" ht="15.75" hidden="false" customHeight="false" outlineLevel="0" collapsed="false">
      <c r="A8" s="7" t="n">
        <v>7</v>
      </c>
      <c r="B8" s="8" t="s">
        <v>72</v>
      </c>
      <c r="C8" s="17" t="s">
        <v>73</v>
      </c>
      <c r="D8" s="7" t="n">
        <v>5</v>
      </c>
      <c r="E8" s="7" t="n">
        <v>10</v>
      </c>
      <c r="F8" s="10"/>
      <c r="G8" s="10"/>
      <c r="H8" s="7" t="n">
        <v>100</v>
      </c>
      <c r="I8" s="11" t="n">
        <v>1</v>
      </c>
      <c r="J8" s="10" t="e">
        <f aca="false">+I8*#REF!</f>
        <v>#REF!</v>
      </c>
      <c r="K8" s="7" t="s">
        <v>74</v>
      </c>
      <c r="L8" s="13" t="n">
        <v>4</v>
      </c>
      <c r="M8" s="10" t="e">
        <f aca="false">#REF!*L8</f>
        <v>#REF!</v>
      </c>
      <c r="N8" s="10" t="e">
        <f aca="false">#REF!*L8</f>
        <v>#REF!</v>
      </c>
      <c r="O8" s="10" t="e">
        <f aca="false">#REF!*H8</f>
        <v>#REF!</v>
      </c>
      <c r="P8" s="10" t="e">
        <f aca="false">#REF!*H8</f>
        <v>#REF!</v>
      </c>
      <c r="Q8" s="10" t="e">
        <f aca="false">#REF!</f>
        <v>#REF!</v>
      </c>
      <c r="R8" s="10" t="e">
        <f aca="false">R7</f>
        <v>#REF!</v>
      </c>
      <c r="S8" s="10"/>
      <c r="T8" s="10"/>
      <c r="U8" s="10"/>
      <c r="V8" s="10"/>
      <c r="W8" s="10"/>
      <c r="X8" s="10"/>
      <c r="Y8" s="10" t="e">
        <f aca="false">#REF!*E8</f>
        <v>#REF!</v>
      </c>
      <c r="Z8" s="10" t="e">
        <f aca="false">#REF!*D8</f>
        <v>#REF!</v>
      </c>
      <c r="AA8" s="10" t="e">
        <f aca="false">#REF!*E8*10*3</f>
        <v>#REF!</v>
      </c>
      <c r="AB8" s="10" t="e">
        <f aca="false">#REF!*E8*10</f>
        <v>#REF!</v>
      </c>
      <c r="AC8" s="10" t="e">
        <f aca="false">#REF!*D8*5</f>
        <v>#REF!</v>
      </c>
      <c r="AD8" s="10" t="e">
        <f aca="false">#REF!*D8*5</f>
        <v>#REF!</v>
      </c>
      <c r="AE8" s="10" t="e">
        <f aca="false">SUM(M8:AD8)</f>
        <v>#REF!</v>
      </c>
      <c r="AF8" s="14" t="n">
        <v>45096</v>
      </c>
      <c r="AG8" s="14" t="n">
        <v>45090</v>
      </c>
      <c r="AH8" s="14" t="n">
        <v>45259</v>
      </c>
      <c r="AI8" s="15"/>
      <c r="AJ8" s="15"/>
      <c r="AK8" s="16" t="s">
        <v>75</v>
      </c>
      <c r="AL8" s="7"/>
      <c r="AM8" s="15"/>
      <c r="AN8" s="15" t="n">
        <v>4</v>
      </c>
      <c r="AO8" s="15" t="s">
        <v>66</v>
      </c>
      <c r="AP8" s="15"/>
      <c r="AQ8" s="15"/>
    </row>
    <row r="9" customFormat="false" ht="15.75" hidden="false" customHeight="false" outlineLevel="0" collapsed="false">
      <c r="A9" s="7" t="n">
        <v>8</v>
      </c>
      <c r="B9" s="8" t="s">
        <v>76</v>
      </c>
      <c r="C9" s="17" t="s">
        <v>77</v>
      </c>
      <c r="D9" s="7"/>
      <c r="E9" s="7"/>
      <c r="F9" s="10"/>
      <c r="G9" s="10"/>
      <c r="H9" s="7" t="n">
        <v>140</v>
      </c>
      <c r="I9" s="11" t="n">
        <v>1</v>
      </c>
      <c r="J9" s="10" t="e">
        <f aca="false">+I9*#REF!</f>
        <v>#REF!</v>
      </c>
      <c r="K9" s="7" t="s">
        <v>78</v>
      </c>
      <c r="L9" s="13" t="n">
        <v>2</v>
      </c>
      <c r="M9" s="10" t="e">
        <f aca="false">#REF!*L9</f>
        <v>#REF!</v>
      </c>
      <c r="N9" s="10" t="e">
        <f aca="false">#REF!*L9</f>
        <v>#REF!</v>
      </c>
      <c r="O9" s="10" t="e">
        <f aca="false">#REF!*H9</f>
        <v>#REF!</v>
      </c>
      <c r="P9" s="10" t="e">
        <f aca="false">#REF!*H9</f>
        <v>#REF!</v>
      </c>
      <c r="Q9" s="10" t="e">
        <f aca="false">#REF!</f>
        <v>#REF!</v>
      </c>
      <c r="R9" s="10" t="e">
        <f aca="false">R8</f>
        <v>#REF!</v>
      </c>
      <c r="S9" s="10"/>
      <c r="T9" s="10"/>
      <c r="U9" s="10"/>
      <c r="V9" s="10"/>
      <c r="W9" s="10"/>
      <c r="X9" s="10"/>
      <c r="Y9" s="10" t="e">
        <f aca="false">#REF!*E9</f>
        <v>#REF!</v>
      </c>
      <c r="Z9" s="10" t="e">
        <f aca="false">#REF!*D9</f>
        <v>#REF!</v>
      </c>
      <c r="AA9" s="10" t="e">
        <f aca="false">#REF!*E9*10*3</f>
        <v>#REF!</v>
      </c>
      <c r="AB9" s="10" t="e">
        <f aca="false">#REF!*E9*10</f>
        <v>#REF!</v>
      </c>
      <c r="AC9" s="10" t="e">
        <f aca="false">#REF!*D9*5</f>
        <v>#REF!</v>
      </c>
      <c r="AD9" s="10" t="e">
        <f aca="false">#REF!*D9*5</f>
        <v>#REF!</v>
      </c>
      <c r="AE9" s="10" t="e">
        <f aca="false">SUM(M9:AD9)</f>
        <v>#REF!</v>
      </c>
      <c r="AF9" s="14" t="n">
        <v>45096</v>
      </c>
      <c r="AG9" s="14" t="n">
        <v>45090</v>
      </c>
      <c r="AH9" s="14" t="n">
        <v>45096</v>
      </c>
      <c r="AI9" s="15"/>
      <c r="AJ9" s="15"/>
      <c r="AK9" s="16" t="s">
        <v>79</v>
      </c>
      <c r="AL9" s="7"/>
      <c r="AM9" s="15"/>
      <c r="AN9" s="15" t="n">
        <v>2</v>
      </c>
      <c r="AO9" s="15" t="s">
        <v>66</v>
      </c>
      <c r="AP9" s="15"/>
      <c r="AQ9" s="15"/>
    </row>
    <row r="10" customFormat="false" ht="15.75" hidden="false" customHeight="false" outlineLevel="0" collapsed="false">
      <c r="A10" s="7" t="n">
        <v>9</v>
      </c>
      <c r="B10" s="8" t="s">
        <v>80</v>
      </c>
      <c r="C10" s="17" t="s">
        <v>81</v>
      </c>
      <c r="D10" s="7"/>
      <c r="E10" s="7" t="n">
        <v>10</v>
      </c>
      <c r="F10" s="10"/>
      <c r="G10" s="10"/>
      <c r="H10" s="7" t="n">
        <v>173</v>
      </c>
      <c r="I10" s="11" t="n">
        <v>1</v>
      </c>
      <c r="J10" s="10" t="e">
        <f aca="false">+I10*#REF!</f>
        <v>#REF!</v>
      </c>
      <c r="K10" s="7" t="s">
        <v>82</v>
      </c>
      <c r="L10" s="13" t="n">
        <v>4</v>
      </c>
      <c r="M10" s="10" t="e">
        <f aca="false">#REF!*L10</f>
        <v>#REF!</v>
      </c>
      <c r="N10" s="10" t="e">
        <f aca="false">#REF!*L10</f>
        <v>#REF!</v>
      </c>
      <c r="O10" s="10" t="e">
        <f aca="false">#REF!*H10</f>
        <v>#REF!</v>
      </c>
      <c r="P10" s="10" t="e">
        <f aca="false">#REF!*H10</f>
        <v>#REF!</v>
      </c>
      <c r="Q10" s="10" t="e">
        <f aca="false">#REF!</f>
        <v>#REF!</v>
      </c>
      <c r="R10" s="10" t="e">
        <f aca="false">R9</f>
        <v>#REF!</v>
      </c>
      <c r="S10" s="10"/>
      <c r="T10" s="10"/>
      <c r="U10" s="10"/>
      <c r="V10" s="10"/>
      <c r="W10" s="10"/>
      <c r="X10" s="10"/>
      <c r="Y10" s="10" t="e">
        <f aca="false">#REF!*E10</f>
        <v>#REF!</v>
      </c>
      <c r="Z10" s="10" t="e">
        <f aca="false">#REF!*D10</f>
        <v>#REF!</v>
      </c>
      <c r="AA10" s="10" t="e">
        <f aca="false">#REF!*E10*10*3</f>
        <v>#REF!</v>
      </c>
      <c r="AB10" s="10" t="e">
        <f aca="false">#REF!*E10*10</f>
        <v>#REF!</v>
      </c>
      <c r="AC10" s="10" t="e">
        <f aca="false">#REF!*D10*5</f>
        <v>#REF!</v>
      </c>
      <c r="AD10" s="10" t="e">
        <f aca="false">#REF!*D10*5</f>
        <v>#REF!</v>
      </c>
      <c r="AE10" s="10" t="e">
        <f aca="false">SUM(M10:AD10)</f>
        <v>#REF!</v>
      </c>
      <c r="AF10" s="14" t="n">
        <v>45097</v>
      </c>
      <c r="AG10" s="14" t="n">
        <v>45090</v>
      </c>
      <c r="AH10" s="14" t="n">
        <v>45302</v>
      </c>
      <c r="AI10" s="15"/>
      <c r="AJ10" s="15"/>
      <c r="AK10" s="16" t="s">
        <v>83</v>
      </c>
      <c r="AL10" s="7"/>
      <c r="AM10" s="15"/>
      <c r="AN10" s="15" t="n">
        <v>4</v>
      </c>
      <c r="AO10" s="15" t="s">
        <v>66</v>
      </c>
      <c r="AP10" s="15"/>
      <c r="AQ10" s="15"/>
    </row>
    <row r="11" customFormat="false" ht="15.75" hidden="false" customHeight="false" outlineLevel="0" collapsed="false">
      <c r="A11" s="7" t="n">
        <v>10</v>
      </c>
      <c r="B11" s="8" t="s">
        <v>84</v>
      </c>
      <c r="C11" s="17" t="s">
        <v>85</v>
      </c>
      <c r="D11" s="7"/>
      <c r="E11" s="7"/>
      <c r="F11" s="10" t="e">
        <f aca="false">#REF!</f>
        <v>#REF!</v>
      </c>
      <c r="G11" s="10" t="e">
        <f aca="false">#REF!</f>
        <v>#REF!</v>
      </c>
      <c r="H11" s="7" t="n">
        <v>86</v>
      </c>
      <c r="I11" s="11" t="n">
        <v>1</v>
      </c>
      <c r="J11" s="10" t="e">
        <f aca="false">+I11*#REF!</f>
        <v>#REF!</v>
      </c>
      <c r="K11" s="7" t="s">
        <v>86</v>
      </c>
      <c r="L11" s="13" t="n">
        <v>3</v>
      </c>
      <c r="M11" s="10" t="e">
        <f aca="false">#REF!*L11</f>
        <v>#REF!</v>
      </c>
      <c r="N11" s="10" t="e">
        <f aca="false">#REF!*L11</f>
        <v>#REF!</v>
      </c>
      <c r="O11" s="10" t="e">
        <f aca="false">#REF!*H11</f>
        <v>#REF!</v>
      </c>
      <c r="P11" s="10" t="e">
        <f aca="false">#REF!*H11</f>
        <v>#REF!</v>
      </c>
      <c r="Q11" s="10" t="e">
        <f aca="false">#REF!</f>
        <v>#REF!</v>
      </c>
      <c r="R11" s="10" t="e">
        <f aca="false">R10</f>
        <v>#REF!</v>
      </c>
      <c r="S11" s="10" t="e">
        <f aca="false">#REF!</f>
        <v>#REF!</v>
      </c>
      <c r="T11" s="10" t="e">
        <f aca="false">#REF!</f>
        <v>#REF!</v>
      </c>
      <c r="U11" s="10" t="e">
        <f aca="false">#REF!</f>
        <v>#REF!</v>
      </c>
      <c r="V11" s="10" t="e">
        <f aca="false">#REF!</f>
        <v>#REF!</v>
      </c>
      <c r="W11" s="10" t="e">
        <f aca="false">#REF!</f>
        <v>#REF!</v>
      </c>
      <c r="X11" s="10" t="e">
        <f aca="false">#REF!</f>
        <v>#REF!</v>
      </c>
      <c r="Y11" s="10" t="e">
        <f aca="false">#REF!*E11</f>
        <v>#REF!</v>
      </c>
      <c r="Z11" s="10" t="e">
        <f aca="false">#REF!*D11</f>
        <v>#REF!</v>
      </c>
      <c r="AA11" s="10" t="e">
        <f aca="false">#REF!*E11*10*3</f>
        <v>#REF!</v>
      </c>
      <c r="AB11" s="10" t="e">
        <f aca="false">#REF!*E11*10</f>
        <v>#REF!</v>
      </c>
      <c r="AC11" s="10" t="e">
        <f aca="false">#REF!*D11*5</f>
        <v>#REF!</v>
      </c>
      <c r="AD11" s="10" t="e">
        <f aca="false">#REF!*D11*5</f>
        <v>#REF!</v>
      </c>
      <c r="AE11" s="10" t="e">
        <f aca="false">SUM(M11:AD11)</f>
        <v>#REF!</v>
      </c>
      <c r="AF11" s="14" t="n">
        <v>45098</v>
      </c>
      <c r="AG11" s="14" t="n">
        <v>45090</v>
      </c>
      <c r="AH11" s="14" t="n">
        <v>45260</v>
      </c>
      <c r="AI11" s="15"/>
      <c r="AJ11" s="15"/>
      <c r="AK11" s="16" t="s">
        <v>87</v>
      </c>
      <c r="AL11" s="7"/>
      <c r="AM11" s="15"/>
      <c r="AN11" s="15" t="n">
        <v>3</v>
      </c>
      <c r="AO11" s="18" t="s">
        <v>88</v>
      </c>
      <c r="AP11" s="19" t="s">
        <v>89</v>
      </c>
      <c r="AQ11" s="15"/>
    </row>
    <row r="12" customFormat="false" ht="15.75" hidden="false" customHeight="false" outlineLevel="0" collapsed="false">
      <c r="A12" s="7" t="n">
        <v>11</v>
      </c>
      <c r="B12" s="8" t="s">
        <v>90</v>
      </c>
      <c r="C12" s="17" t="s">
        <v>91</v>
      </c>
      <c r="D12" s="7"/>
      <c r="E12" s="7"/>
      <c r="F12" s="10"/>
      <c r="G12" s="10"/>
      <c r="H12" s="7" t="n">
        <v>130</v>
      </c>
      <c r="I12" s="11" t="n">
        <v>1</v>
      </c>
      <c r="J12" s="10" t="e">
        <f aca="false">+I12*#REF!</f>
        <v>#REF!</v>
      </c>
      <c r="K12" s="12" t="s">
        <v>92</v>
      </c>
      <c r="L12" s="13" t="n">
        <v>3</v>
      </c>
      <c r="M12" s="10" t="e">
        <f aca="false">#REF!*L12</f>
        <v>#REF!</v>
      </c>
      <c r="N12" s="10" t="e">
        <f aca="false">#REF!*L12</f>
        <v>#REF!</v>
      </c>
      <c r="O12" s="10" t="e">
        <f aca="false">#REF!*H12</f>
        <v>#REF!</v>
      </c>
      <c r="P12" s="10" t="e">
        <f aca="false">#REF!*H12</f>
        <v>#REF!</v>
      </c>
      <c r="Q12" s="10" t="e">
        <f aca="false">#REF!</f>
        <v>#REF!</v>
      </c>
      <c r="R12" s="10" t="e">
        <f aca="false">R11</f>
        <v>#REF!</v>
      </c>
      <c r="S12" s="10"/>
      <c r="T12" s="10"/>
      <c r="U12" s="10"/>
      <c r="V12" s="10"/>
      <c r="W12" s="10"/>
      <c r="X12" s="10"/>
      <c r="Y12" s="10" t="e">
        <f aca="false">#REF!*E12</f>
        <v>#REF!</v>
      </c>
      <c r="Z12" s="10" t="e">
        <f aca="false">#REF!*D12</f>
        <v>#REF!</v>
      </c>
      <c r="AA12" s="10" t="e">
        <f aca="false">#REF!*E12*10*3</f>
        <v>#REF!</v>
      </c>
      <c r="AB12" s="10" t="e">
        <f aca="false">#REF!*E12*10</f>
        <v>#REF!</v>
      </c>
      <c r="AC12" s="10" t="e">
        <f aca="false">#REF!*D12*5</f>
        <v>#REF!</v>
      </c>
      <c r="AD12" s="10" t="e">
        <f aca="false">#REF!*D12*5</f>
        <v>#REF!</v>
      </c>
      <c r="AE12" s="10" t="e">
        <f aca="false">SUM(M12:AD12)</f>
        <v>#REF!</v>
      </c>
      <c r="AF12" s="14" t="n">
        <v>45138</v>
      </c>
      <c r="AG12" s="14" t="n">
        <v>45135</v>
      </c>
      <c r="AH12" s="14" t="n">
        <v>45138</v>
      </c>
      <c r="AI12" s="15"/>
      <c r="AJ12" s="15"/>
      <c r="AK12" s="16" t="s">
        <v>93</v>
      </c>
      <c r="AL12" s="7"/>
      <c r="AM12" s="15"/>
      <c r="AN12" s="15" t="n">
        <v>3</v>
      </c>
      <c r="AO12" s="15" t="s">
        <v>66</v>
      </c>
      <c r="AP12" s="15"/>
      <c r="AQ12" s="15"/>
    </row>
    <row r="13" customFormat="false" ht="15.75" hidden="false" customHeight="false" outlineLevel="0" collapsed="false">
      <c r="A13" s="7" t="n">
        <v>12</v>
      </c>
      <c r="B13" s="8" t="s">
        <v>94</v>
      </c>
      <c r="C13" s="9" t="s">
        <v>95</v>
      </c>
      <c r="D13" s="7"/>
      <c r="E13" s="7" t="n">
        <v>10</v>
      </c>
      <c r="F13" s="10"/>
      <c r="G13" s="10"/>
      <c r="H13" s="7" t="n">
        <v>150</v>
      </c>
      <c r="I13" s="11" t="n">
        <v>1</v>
      </c>
      <c r="J13" s="10" t="e">
        <f aca="false">+I13*#REF!</f>
        <v>#REF!</v>
      </c>
      <c r="K13" s="12" t="s">
        <v>96</v>
      </c>
      <c r="L13" s="13" t="n">
        <v>4</v>
      </c>
      <c r="M13" s="10" t="e">
        <f aca="false">#REF!*L13</f>
        <v>#REF!</v>
      </c>
      <c r="N13" s="10" t="e">
        <f aca="false">#REF!*L13</f>
        <v>#REF!</v>
      </c>
      <c r="O13" s="10" t="e">
        <f aca="false">#REF!*H13</f>
        <v>#REF!</v>
      </c>
      <c r="P13" s="10" t="e">
        <f aca="false">#REF!*H13</f>
        <v>#REF!</v>
      </c>
      <c r="Q13" s="10" t="e">
        <f aca="false">#REF!</f>
        <v>#REF!</v>
      </c>
      <c r="R13" s="10" t="e">
        <f aca="false">R12</f>
        <v>#REF!</v>
      </c>
      <c r="S13" s="10"/>
      <c r="T13" s="10"/>
      <c r="U13" s="10"/>
      <c r="V13" s="10"/>
      <c r="W13" s="10"/>
      <c r="X13" s="10"/>
      <c r="Y13" s="10" t="e">
        <f aca="false">#REF!*E13</f>
        <v>#REF!</v>
      </c>
      <c r="Z13" s="10" t="e">
        <f aca="false">#REF!*D13</f>
        <v>#REF!</v>
      </c>
      <c r="AA13" s="10" t="e">
        <f aca="false">#REF!*E13*10*3</f>
        <v>#REF!</v>
      </c>
      <c r="AB13" s="10" t="e">
        <f aca="false">#REF!*E13*10</f>
        <v>#REF!</v>
      </c>
      <c r="AC13" s="10" t="e">
        <f aca="false">#REF!*D13*5</f>
        <v>#REF!</v>
      </c>
      <c r="AD13" s="10" t="e">
        <f aca="false">#REF!*D13*5</f>
        <v>#REF!</v>
      </c>
      <c r="AE13" s="10" t="e">
        <f aca="false">SUM(M13:AD13)</f>
        <v>#REF!</v>
      </c>
      <c r="AF13" s="14" t="n">
        <v>45146</v>
      </c>
      <c r="AG13" s="14" t="n">
        <v>45135</v>
      </c>
      <c r="AH13" s="15"/>
      <c r="AI13" s="15" t="s">
        <v>45</v>
      </c>
      <c r="AJ13" s="15" t="s">
        <v>45</v>
      </c>
      <c r="AK13" s="16" t="s">
        <v>97</v>
      </c>
      <c r="AL13" s="7" t="s">
        <v>98</v>
      </c>
      <c r="AM13" s="15" t="n">
        <v>2</v>
      </c>
      <c r="AN13" s="15"/>
      <c r="AO13" s="15" t="s">
        <v>48</v>
      </c>
      <c r="AP13" s="15"/>
      <c r="AQ13" s="15"/>
    </row>
    <row r="14" customFormat="false" ht="15.75" hidden="false" customHeight="false" outlineLevel="0" collapsed="false">
      <c r="A14" s="7" t="n">
        <v>13</v>
      </c>
      <c r="B14" s="8" t="s">
        <v>99</v>
      </c>
      <c r="C14" s="9" t="s">
        <v>100</v>
      </c>
      <c r="D14" s="7"/>
      <c r="E14" s="7" t="n">
        <v>31</v>
      </c>
      <c r="F14" s="10"/>
      <c r="G14" s="10"/>
      <c r="H14" s="7" t="n">
        <v>110</v>
      </c>
      <c r="I14" s="11" t="n">
        <v>1</v>
      </c>
      <c r="J14" s="10" t="e">
        <f aca="false">+I14*#REF!</f>
        <v>#REF!</v>
      </c>
      <c r="K14" s="12" t="s">
        <v>101</v>
      </c>
      <c r="L14" s="13" t="n">
        <v>3</v>
      </c>
      <c r="M14" s="10" t="e">
        <f aca="false">#REF!*L14</f>
        <v>#REF!</v>
      </c>
      <c r="N14" s="10" t="e">
        <f aca="false">#REF!*L14</f>
        <v>#REF!</v>
      </c>
      <c r="O14" s="10" t="e">
        <f aca="false">#REF!*H14</f>
        <v>#REF!</v>
      </c>
      <c r="P14" s="10" t="e">
        <f aca="false">#REF!*H14</f>
        <v>#REF!</v>
      </c>
      <c r="Q14" s="10" t="e">
        <f aca="false">#REF!</f>
        <v>#REF!</v>
      </c>
      <c r="R14" s="10" t="e">
        <f aca="false">R13</f>
        <v>#REF!</v>
      </c>
      <c r="S14" s="10"/>
      <c r="T14" s="10"/>
      <c r="U14" s="10"/>
      <c r="V14" s="10"/>
      <c r="W14" s="10"/>
      <c r="X14" s="10"/>
      <c r="Y14" s="10" t="e">
        <f aca="false">#REF!*E14</f>
        <v>#REF!</v>
      </c>
      <c r="Z14" s="10" t="e">
        <f aca="false">#REF!*D14</f>
        <v>#REF!</v>
      </c>
      <c r="AA14" s="10" t="e">
        <f aca="false">#REF!*E14*10*3</f>
        <v>#REF!</v>
      </c>
      <c r="AB14" s="10" t="e">
        <f aca="false">#REF!*E14*10</f>
        <v>#REF!</v>
      </c>
      <c r="AC14" s="10" t="e">
        <f aca="false">#REF!*D14*5</f>
        <v>#REF!</v>
      </c>
      <c r="AD14" s="10" t="e">
        <f aca="false">#REF!*D14*5</f>
        <v>#REF!</v>
      </c>
      <c r="AE14" s="10" t="e">
        <f aca="false">SUM(M14:AD14)</f>
        <v>#REF!</v>
      </c>
      <c r="AF14" s="14" t="n">
        <v>45178</v>
      </c>
      <c r="AG14" s="14" t="n">
        <v>45135</v>
      </c>
      <c r="AH14" s="15"/>
      <c r="AI14" s="15" t="s">
        <v>45</v>
      </c>
      <c r="AJ14" s="15" t="s">
        <v>45</v>
      </c>
      <c r="AK14" s="16" t="s">
        <v>102</v>
      </c>
      <c r="AL14" s="7"/>
      <c r="AM14" s="15" t="n">
        <v>3</v>
      </c>
      <c r="AN14" s="15"/>
      <c r="AO14" s="15" t="s">
        <v>66</v>
      </c>
      <c r="AP14" s="15"/>
      <c r="AQ14" s="15"/>
    </row>
    <row r="15" customFormat="false" ht="15.75" hidden="false" customHeight="false" outlineLevel="0" collapsed="false">
      <c r="A15" s="7" t="n">
        <v>14</v>
      </c>
      <c r="B15" s="8" t="s">
        <v>103</v>
      </c>
      <c r="C15" s="9" t="s">
        <v>104</v>
      </c>
      <c r="D15" s="7"/>
      <c r="E15" s="7" t="n">
        <v>32</v>
      </c>
      <c r="F15" s="10"/>
      <c r="G15" s="10"/>
      <c r="H15" s="7" t="n">
        <v>145</v>
      </c>
      <c r="I15" s="11" t="n">
        <v>1</v>
      </c>
      <c r="J15" s="10" t="e">
        <f aca="false">+I15*#REF!</f>
        <v>#REF!</v>
      </c>
      <c r="K15" s="12" t="s">
        <v>105</v>
      </c>
      <c r="L15" s="13" t="n">
        <v>4</v>
      </c>
      <c r="M15" s="10" t="e">
        <f aca="false">#REF!*L15</f>
        <v>#REF!</v>
      </c>
      <c r="N15" s="10" t="e">
        <f aca="false">#REF!*L15</f>
        <v>#REF!</v>
      </c>
      <c r="O15" s="10" t="e">
        <f aca="false">#REF!*H15</f>
        <v>#REF!</v>
      </c>
      <c r="P15" s="10" t="e">
        <f aca="false">#REF!*H15</f>
        <v>#REF!</v>
      </c>
      <c r="Q15" s="10" t="e">
        <f aca="false">#REF!</f>
        <v>#REF!</v>
      </c>
      <c r="R15" s="10" t="e">
        <f aca="false">R14</f>
        <v>#REF!</v>
      </c>
      <c r="S15" s="10"/>
      <c r="T15" s="10"/>
      <c r="U15" s="10"/>
      <c r="V15" s="10"/>
      <c r="W15" s="10"/>
      <c r="X15" s="10"/>
      <c r="Y15" s="10" t="e">
        <f aca="false">#REF!*E15</f>
        <v>#REF!</v>
      </c>
      <c r="Z15" s="10" t="e">
        <f aca="false">#REF!*D15</f>
        <v>#REF!</v>
      </c>
      <c r="AA15" s="10" t="e">
        <f aca="false">#REF!*E15*10*3</f>
        <v>#REF!</v>
      </c>
      <c r="AB15" s="10" t="e">
        <f aca="false">#REF!*E15*10</f>
        <v>#REF!</v>
      </c>
      <c r="AC15" s="10" t="e">
        <f aca="false">#REF!*D15*5</f>
        <v>#REF!</v>
      </c>
      <c r="AD15" s="10" t="e">
        <f aca="false">#REF!*D15*5</f>
        <v>#REF!</v>
      </c>
      <c r="AE15" s="10" t="e">
        <f aca="false">SUM(M15:AD15)</f>
        <v>#REF!</v>
      </c>
      <c r="AF15" s="14" t="n">
        <v>45174</v>
      </c>
      <c r="AG15" s="14" t="n">
        <v>45173</v>
      </c>
      <c r="AH15" s="20" t="s">
        <v>106</v>
      </c>
      <c r="AI15" s="15"/>
      <c r="AJ15" s="15"/>
      <c r="AK15" s="16" t="s">
        <v>107</v>
      </c>
      <c r="AL15" s="7"/>
      <c r="AM15" s="15"/>
      <c r="AN15" s="15"/>
      <c r="AO15" s="15" t="s">
        <v>48</v>
      </c>
      <c r="AP15" s="15"/>
      <c r="AQ15" s="15"/>
    </row>
    <row r="16" customFormat="false" ht="15.75" hidden="false" customHeight="false" outlineLevel="0" collapsed="false">
      <c r="A16" s="7" t="n">
        <v>15</v>
      </c>
      <c r="B16" s="8" t="s">
        <v>108</v>
      </c>
      <c r="C16" s="9" t="s">
        <v>109</v>
      </c>
      <c r="D16" s="7"/>
      <c r="E16" s="7" t="n">
        <v>10</v>
      </c>
      <c r="F16" s="10"/>
      <c r="G16" s="10"/>
      <c r="H16" s="7" t="n">
        <v>70</v>
      </c>
      <c r="I16" s="11" t="n">
        <v>1</v>
      </c>
      <c r="J16" s="10" t="e">
        <f aca="false">+I16*#REF!</f>
        <v>#REF!</v>
      </c>
      <c r="K16" s="12" t="s">
        <v>110</v>
      </c>
      <c r="L16" s="13" t="n">
        <v>3</v>
      </c>
      <c r="M16" s="10" t="e">
        <f aca="false">#REF!*L16</f>
        <v>#REF!</v>
      </c>
      <c r="N16" s="10" t="e">
        <f aca="false">#REF!*L16</f>
        <v>#REF!</v>
      </c>
      <c r="O16" s="10" t="e">
        <f aca="false">#REF!*H16</f>
        <v>#REF!</v>
      </c>
      <c r="P16" s="10" t="e">
        <f aca="false">#REF!*H16</f>
        <v>#REF!</v>
      </c>
      <c r="Q16" s="10" t="e">
        <f aca="false">#REF!</f>
        <v>#REF!</v>
      </c>
      <c r="R16" s="10" t="e">
        <f aca="false">R15</f>
        <v>#REF!</v>
      </c>
      <c r="S16" s="10"/>
      <c r="T16" s="10"/>
      <c r="U16" s="10"/>
      <c r="V16" s="10"/>
      <c r="W16" s="10"/>
      <c r="X16" s="10"/>
      <c r="Y16" s="10" t="e">
        <f aca="false">#REF!*E16</f>
        <v>#REF!</v>
      </c>
      <c r="Z16" s="10" t="e">
        <f aca="false">#REF!*D16</f>
        <v>#REF!</v>
      </c>
      <c r="AA16" s="10" t="e">
        <f aca="false">#REF!*E16*10*3</f>
        <v>#REF!</v>
      </c>
      <c r="AB16" s="10" t="e">
        <f aca="false">#REF!*E16*10</f>
        <v>#REF!</v>
      </c>
      <c r="AC16" s="10" t="e">
        <f aca="false">#REF!*D16*5</f>
        <v>#REF!</v>
      </c>
      <c r="AD16" s="10" t="e">
        <f aca="false">#REF!*D16*5</f>
        <v>#REF!</v>
      </c>
      <c r="AE16" s="10" t="e">
        <f aca="false">SUM(M16:AD16)</f>
        <v>#REF!</v>
      </c>
      <c r="AF16" s="14" t="n">
        <v>45174</v>
      </c>
      <c r="AG16" s="14" t="n">
        <v>45173</v>
      </c>
      <c r="AH16" s="15"/>
      <c r="AI16" s="15" t="s">
        <v>45</v>
      </c>
      <c r="AJ16" s="15" t="s">
        <v>45</v>
      </c>
      <c r="AK16" s="16" t="s">
        <v>111</v>
      </c>
      <c r="AL16" s="7" t="n">
        <v>2</v>
      </c>
      <c r="AM16" s="15" t="s">
        <v>112</v>
      </c>
      <c r="AN16" s="15"/>
      <c r="AO16" s="15" t="s">
        <v>66</v>
      </c>
      <c r="AP16" s="15"/>
      <c r="AQ16" s="15"/>
    </row>
    <row r="17" customFormat="false" ht="15.75" hidden="false" customHeight="false" outlineLevel="0" collapsed="false">
      <c r="A17" s="7" t="n">
        <v>16</v>
      </c>
      <c r="B17" s="8" t="s">
        <v>113</v>
      </c>
      <c r="C17" s="9" t="s">
        <v>114</v>
      </c>
      <c r="D17" s="7"/>
      <c r="E17" s="7" t="n">
        <v>10</v>
      </c>
      <c r="F17" s="10"/>
      <c r="G17" s="10"/>
      <c r="H17" s="7" t="n">
        <v>40</v>
      </c>
      <c r="I17" s="11" t="n">
        <v>1</v>
      </c>
      <c r="J17" s="10" t="e">
        <f aca="false">+I17*#REF!</f>
        <v>#REF!</v>
      </c>
      <c r="K17" s="12" t="s">
        <v>115</v>
      </c>
      <c r="L17" s="13" t="n">
        <v>2</v>
      </c>
      <c r="M17" s="10" t="e">
        <f aca="false">#REF!*L17</f>
        <v>#REF!</v>
      </c>
      <c r="N17" s="10" t="e">
        <f aca="false">#REF!*L17</f>
        <v>#REF!</v>
      </c>
      <c r="O17" s="10" t="e">
        <f aca="false">#REF!*H17</f>
        <v>#REF!</v>
      </c>
      <c r="P17" s="10" t="e">
        <f aca="false">#REF!*H17</f>
        <v>#REF!</v>
      </c>
      <c r="Q17" s="10" t="e">
        <f aca="false">#REF!</f>
        <v>#REF!</v>
      </c>
      <c r="R17" s="10" t="e">
        <f aca="false">R16</f>
        <v>#REF!</v>
      </c>
      <c r="S17" s="10"/>
      <c r="T17" s="10"/>
      <c r="U17" s="10"/>
      <c r="V17" s="10"/>
      <c r="W17" s="10"/>
      <c r="X17" s="10"/>
      <c r="Y17" s="10" t="e">
        <f aca="false">#REF!*E17</f>
        <v>#REF!</v>
      </c>
      <c r="Z17" s="10" t="e">
        <f aca="false">#REF!*D17</f>
        <v>#REF!</v>
      </c>
      <c r="AA17" s="10" t="e">
        <f aca="false">#REF!*E17*10*3</f>
        <v>#REF!</v>
      </c>
      <c r="AB17" s="10" t="e">
        <f aca="false">#REF!*E17*10</f>
        <v>#REF!</v>
      </c>
      <c r="AC17" s="10" t="e">
        <f aca="false">#REF!*D17*5</f>
        <v>#REF!</v>
      </c>
      <c r="AD17" s="10" t="e">
        <f aca="false">#REF!*D17*5</f>
        <v>#REF!</v>
      </c>
      <c r="AE17" s="10" t="e">
        <f aca="false">SUM(M17:AD17)</f>
        <v>#REF!</v>
      </c>
      <c r="AF17" s="14" t="n">
        <v>45181</v>
      </c>
      <c r="AG17" s="14" t="n">
        <v>45173</v>
      </c>
      <c r="AH17" s="20" t="s">
        <v>106</v>
      </c>
      <c r="AI17" s="15"/>
      <c r="AJ17" s="15"/>
      <c r="AK17" s="16" t="s">
        <v>116</v>
      </c>
      <c r="AL17" s="7"/>
      <c r="AM17" s="15"/>
      <c r="AN17" s="15"/>
      <c r="AO17" s="15" t="s">
        <v>66</v>
      </c>
      <c r="AP17" s="15"/>
      <c r="AQ17" s="15"/>
    </row>
    <row r="18" customFormat="false" ht="15.75" hidden="false" customHeight="false" outlineLevel="0" collapsed="false">
      <c r="A18" s="7" t="n">
        <v>17</v>
      </c>
      <c r="B18" s="8" t="s">
        <v>117</v>
      </c>
      <c r="C18" s="9" t="s">
        <v>118</v>
      </c>
      <c r="D18" s="7"/>
      <c r="E18" s="7" t="n">
        <v>10</v>
      </c>
      <c r="F18" s="10"/>
      <c r="G18" s="10"/>
      <c r="H18" s="7" t="n">
        <v>215</v>
      </c>
      <c r="I18" s="11" t="n">
        <v>2</v>
      </c>
      <c r="J18" s="10" t="e">
        <f aca="false">+I18*#REF!</f>
        <v>#REF!</v>
      </c>
      <c r="K18" s="12" t="s">
        <v>119</v>
      </c>
      <c r="L18" s="13" t="n">
        <v>7</v>
      </c>
      <c r="M18" s="10" t="e">
        <f aca="false">#REF!*L18</f>
        <v>#REF!</v>
      </c>
      <c r="N18" s="10" t="e">
        <f aca="false">#REF!*L18</f>
        <v>#REF!</v>
      </c>
      <c r="O18" s="10" t="e">
        <f aca="false">#REF!*H18</f>
        <v>#REF!</v>
      </c>
      <c r="P18" s="10" t="e">
        <f aca="false">#REF!*H18</f>
        <v>#REF!</v>
      </c>
      <c r="Q18" s="10" t="e">
        <f aca="false">#REF!</f>
        <v>#REF!</v>
      </c>
      <c r="R18" s="10" t="e">
        <f aca="false">R17</f>
        <v>#REF!</v>
      </c>
      <c r="S18" s="10"/>
      <c r="T18" s="10"/>
      <c r="U18" s="10"/>
      <c r="V18" s="10"/>
      <c r="W18" s="10"/>
      <c r="X18" s="10"/>
      <c r="Y18" s="10" t="e">
        <f aca="false">#REF!*E18</f>
        <v>#REF!</v>
      </c>
      <c r="Z18" s="10" t="e">
        <f aca="false">#REF!*D18</f>
        <v>#REF!</v>
      </c>
      <c r="AA18" s="10" t="e">
        <f aca="false">#REF!*E18*10*3</f>
        <v>#REF!</v>
      </c>
      <c r="AB18" s="10" t="e">
        <f aca="false">#REF!*E18*10</f>
        <v>#REF!</v>
      </c>
      <c r="AC18" s="10" t="e">
        <f aca="false">#REF!*D18*5</f>
        <v>#REF!</v>
      </c>
      <c r="AD18" s="10" t="e">
        <f aca="false">#REF!*D18*5</f>
        <v>#REF!</v>
      </c>
      <c r="AE18" s="10" t="e">
        <f aca="false">SUM(M18:AD18)</f>
        <v>#REF!</v>
      </c>
      <c r="AF18" s="14" t="n">
        <v>45190</v>
      </c>
      <c r="AG18" s="14" t="n">
        <v>45183</v>
      </c>
      <c r="AH18" s="15"/>
      <c r="AI18" s="15" t="s">
        <v>45</v>
      </c>
      <c r="AJ18" s="15" t="s">
        <v>45</v>
      </c>
      <c r="AK18" s="16" t="s">
        <v>120</v>
      </c>
      <c r="AL18" s="21" t="n">
        <v>7</v>
      </c>
      <c r="AM18" s="15"/>
      <c r="AN18" s="15"/>
      <c r="AO18" s="15" t="s">
        <v>48</v>
      </c>
      <c r="AP18" s="15"/>
      <c r="AQ18" s="15"/>
    </row>
    <row r="19" customFormat="false" ht="15.75" hidden="false" customHeight="false" outlineLevel="0" collapsed="false">
      <c r="A19" s="7" t="n">
        <v>18</v>
      </c>
      <c r="B19" s="8" t="s">
        <v>121</v>
      </c>
      <c r="C19" s="9" t="s">
        <v>122</v>
      </c>
      <c r="D19" s="7" t="n">
        <v>5</v>
      </c>
      <c r="E19" s="7"/>
      <c r="F19" s="10"/>
      <c r="G19" s="10"/>
      <c r="H19" s="7" t="n">
        <v>60</v>
      </c>
      <c r="I19" s="11" t="n">
        <v>1</v>
      </c>
      <c r="J19" s="10" t="e">
        <f aca="false">+I19*#REF!</f>
        <v>#REF!</v>
      </c>
      <c r="K19" s="12" t="s">
        <v>123</v>
      </c>
      <c r="L19" s="13" t="n">
        <v>3</v>
      </c>
      <c r="M19" s="10" t="e">
        <f aca="false">#REF!*L19</f>
        <v>#REF!</v>
      </c>
      <c r="N19" s="10" t="e">
        <f aca="false">#REF!*L19</f>
        <v>#REF!</v>
      </c>
      <c r="O19" s="10" t="e">
        <f aca="false">#REF!*H19</f>
        <v>#REF!</v>
      </c>
      <c r="P19" s="10" t="e">
        <f aca="false">#REF!*H19</f>
        <v>#REF!</v>
      </c>
      <c r="Q19" s="10" t="e">
        <f aca="false">#REF!</f>
        <v>#REF!</v>
      </c>
      <c r="R19" s="10" t="e">
        <f aca="false">R18</f>
        <v>#REF!</v>
      </c>
      <c r="S19" s="10"/>
      <c r="T19" s="10"/>
      <c r="U19" s="10"/>
      <c r="V19" s="10"/>
      <c r="W19" s="10"/>
      <c r="X19" s="10"/>
      <c r="Y19" s="10" t="e">
        <f aca="false">#REF!*E19</f>
        <v>#REF!</v>
      </c>
      <c r="Z19" s="10" t="e">
        <f aca="false">#REF!*D19</f>
        <v>#REF!</v>
      </c>
      <c r="AA19" s="10" t="e">
        <f aca="false">#REF!*E19*10*3</f>
        <v>#REF!</v>
      </c>
      <c r="AB19" s="10" t="e">
        <f aca="false">#REF!*E19*10</f>
        <v>#REF!</v>
      </c>
      <c r="AC19" s="10" t="e">
        <f aca="false">#REF!*D19*5</f>
        <v>#REF!</v>
      </c>
      <c r="AD19" s="10" t="e">
        <f aca="false">#REF!*D19*5</f>
        <v>#REF!</v>
      </c>
      <c r="AE19" s="10" t="e">
        <f aca="false">SUM(M19:AD19)</f>
        <v>#REF!</v>
      </c>
      <c r="AF19" s="14" t="n">
        <v>45187</v>
      </c>
      <c r="AG19" s="14" t="n">
        <v>45183</v>
      </c>
      <c r="AH19" s="15"/>
      <c r="AI19" s="15" t="s">
        <v>45</v>
      </c>
      <c r="AJ19" s="15" t="s">
        <v>45</v>
      </c>
      <c r="AK19" s="16" t="s">
        <v>124</v>
      </c>
      <c r="AL19" s="7" t="n">
        <v>3</v>
      </c>
      <c r="AM19" s="15"/>
      <c r="AN19" s="15"/>
      <c r="AO19" s="15" t="s">
        <v>48</v>
      </c>
      <c r="AP19" s="15"/>
      <c r="AQ19" s="15"/>
    </row>
    <row r="20" customFormat="false" ht="15.75" hidden="false" customHeight="false" outlineLevel="0" collapsed="false">
      <c r="A20" s="7" t="n">
        <v>19</v>
      </c>
      <c r="B20" s="8" t="s">
        <v>125</v>
      </c>
      <c r="C20" s="9" t="s">
        <v>126</v>
      </c>
      <c r="D20" s="7"/>
      <c r="E20" s="7"/>
      <c r="F20" s="10"/>
      <c r="G20" s="10"/>
      <c r="H20" s="7" t="n">
        <v>50</v>
      </c>
      <c r="I20" s="11" t="n">
        <v>1</v>
      </c>
      <c r="J20" s="10" t="e">
        <f aca="false">+I20*#REF!</f>
        <v>#REF!</v>
      </c>
      <c r="K20" s="12" t="s">
        <v>127</v>
      </c>
      <c r="L20" s="13" t="n">
        <v>4</v>
      </c>
      <c r="M20" s="10" t="e">
        <f aca="false">#REF!*L20</f>
        <v>#REF!</v>
      </c>
      <c r="N20" s="10" t="e">
        <f aca="false">#REF!*L20</f>
        <v>#REF!</v>
      </c>
      <c r="O20" s="10" t="e">
        <f aca="false">#REF!*H20</f>
        <v>#REF!</v>
      </c>
      <c r="P20" s="10" t="e">
        <f aca="false">#REF!*H20</f>
        <v>#REF!</v>
      </c>
      <c r="Q20" s="10" t="e">
        <f aca="false">#REF!</f>
        <v>#REF!</v>
      </c>
      <c r="R20" s="10" t="e">
        <f aca="false">R19</f>
        <v>#REF!</v>
      </c>
      <c r="S20" s="10"/>
      <c r="T20" s="10"/>
      <c r="U20" s="10"/>
      <c r="V20" s="10"/>
      <c r="W20" s="10"/>
      <c r="X20" s="10"/>
      <c r="Y20" s="10" t="e">
        <f aca="false">#REF!*E20</f>
        <v>#REF!</v>
      </c>
      <c r="Z20" s="10" t="e">
        <f aca="false">#REF!*D20</f>
        <v>#REF!</v>
      </c>
      <c r="AA20" s="10" t="e">
        <f aca="false">#REF!*E20*10*3</f>
        <v>#REF!</v>
      </c>
      <c r="AB20" s="10" t="e">
        <f aca="false">#REF!*E20*10</f>
        <v>#REF!</v>
      </c>
      <c r="AC20" s="10" t="e">
        <f aca="false">#REF!*D20*5</f>
        <v>#REF!</v>
      </c>
      <c r="AD20" s="10" t="e">
        <f aca="false">#REF!*D20*5</f>
        <v>#REF!</v>
      </c>
      <c r="AE20" s="10" t="e">
        <f aca="false">SUM(M20:AD20)</f>
        <v>#REF!</v>
      </c>
      <c r="AF20" s="14" t="n">
        <v>45187</v>
      </c>
      <c r="AG20" s="14" t="n">
        <v>45183</v>
      </c>
      <c r="AH20" s="15"/>
      <c r="AI20" s="15" t="s">
        <v>45</v>
      </c>
      <c r="AJ20" s="15"/>
      <c r="AK20" s="16" t="s">
        <v>128</v>
      </c>
      <c r="AL20" s="7" t="n">
        <v>4</v>
      </c>
      <c r="AM20" s="15"/>
      <c r="AN20" s="15"/>
      <c r="AO20" s="15" t="s">
        <v>48</v>
      </c>
      <c r="AP20" s="15"/>
      <c r="AQ20" s="15"/>
    </row>
    <row r="21" customFormat="false" ht="15.75" hidden="false" customHeight="false" outlineLevel="0" collapsed="false">
      <c r="A21" s="7" t="n">
        <v>20</v>
      </c>
      <c r="B21" s="8" t="s">
        <v>129</v>
      </c>
      <c r="C21" s="9" t="s">
        <v>130</v>
      </c>
      <c r="D21" s="7"/>
      <c r="E21" s="7" t="n">
        <v>10</v>
      </c>
      <c r="F21" s="10"/>
      <c r="G21" s="10"/>
      <c r="H21" s="7" t="n">
        <v>405</v>
      </c>
      <c r="I21" s="11" t="n">
        <v>1</v>
      </c>
      <c r="J21" s="10" t="e">
        <f aca="false">+I21*#REF!</f>
        <v>#REF!</v>
      </c>
      <c r="K21" s="12" t="s">
        <v>131</v>
      </c>
      <c r="L21" s="13" t="n">
        <v>5</v>
      </c>
      <c r="M21" s="10" t="e">
        <f aca="false">#REF!*L21</f>
        <v>#REF!</v>
      </c>
      <c r="N21" s="10" t="e">
        <f aca="false">#REF!*L21</f>
        <v>#REF!</v>
      </c>
      <c r="O21" s="10" t="e">
        <f aca="false">#REF!*H21</f>
        <v>#REF!</v>
      </c>
      <c r="P21" s="10" t="e">
        <f aca="false">#REF!*H21</f>
        <v>#REF!</v>
      </c>
      <c r="Q21" s="10" t="e">
        <f aca="false">#REF!</f>
        <v>#REF!</v>
      </c>
      <c r="R21" s="10" t="e">
        <f aca="false">R20</f>
        <v>#REF!</v>
      </c>
      <c r="S21" s="10"/>
      <c r="T21" s="10"/>
      <c r="U21" s="10"/>
      <c r="V21" s="10"/>
      <c r="W21" s="10"/>
      <c r="X21" s="10"/>
      <c r="Y21" s="10" t="e">
        <f aca="false">#REF!*E21</f>
        <v>#REF!</v>
      </c>
      <c r="Z21" s="10" t="e">
        <f aca="false">#REF!*D21</f>
        <v>#REF!</v>
      </c>
      <c r="AA21" s="10" t="e">
        <f aca="false">#REF!*E21*10*3</f>
        <v>#REF!</v>
      </c>
      <c r="AB21" s="10" t="e">
        <f aca="false">#REF!*E21*10</f>
        <v>#REF!</v>
      </c>
      <c r="AC21" s="10" t="e">
        <f aca="false">#REF!*D21*5</f>
        <v>#REF!</v>
      </c>
      <c r="AD21" s="10" t="e">
        <f aca="false">#REF!*D21*5</f>
        <v>#REF!</v>
      </c>
      <c r="AE21" s="10" t="e">
        <f aca="false">SUM(M21:AD21)</f>
        <v>#REF!</v>
      </c>
      <c r="AF21" s="14" t="n">
        <v>45187</v>
      </c>
      <c r="AG21" s="14" t="n">
        <v>45183</v>
      </c>
      <c r="AH21" s="15"/>
      <c r="AI21" s="15" t="s">
        <v>45</v>
      </c>
      <c r="AJ21" s="15"/>
      <c r="AK21" s="16" t="s">
        <v>132</v>
      </c>
      <c r="AL21" s="7" t="n">
        <v>5</v>
      </c>
      <c r="AM21" s="15"/>
      <c r="AN21" s="15"/>
      <c r="AO21" s="15" t="s">
        <v>48</v>
      </c>
      <c r="AP21" s="15"/>
      <c r="AQ21" s="15"/>
    </row>
    <row r="22" customFormat="false" ht="15.75" hidden="false" customHeight="false" outlineLevel="0" collapsed="false">
      <c r="A22" s="7" t="n">
        <v>21</v>
      </c>
      <c r="B22" s="8" t="s">
        <v>133</v>
      </c>
      <c r="C22" s="9" t="s">
        <v>134</v>
      </c>
      <c r="D22" s="15" t="n">
        <v>5</v>
      </c>
      <c r="E22" s="15" t="n">
        <v>10</v>
      </c>
      <c r="F22" s="22"/>
      <c r="G22" s="22"/>
      <c r="H22" s="15" t="n">
        <v>200</v>
      </c>
      <c r="I22" s="11" t="n">
        <v>1</v>
      </c>
      <c r="J22" s="10" t="e">
        <f aca="false">+I22*#REF!</f>
        <v>#REF!</v>
      </c>
      <c r="K22" s="23" t="s">
        <v>135</v>
      </c>
      <c r="L22" s="13" t="n">
        <v>4</v>
      </c>
      <c r="M22" s="10" t="e">
        <f aca="false">#REF!*L22</f>
        <v>#REF!</v>
      </c>
      <c r="N22" s="10" t="e">
        <f aca="false">#REF!*L22</f>
        <v>#REF!</v>
      </c>
      <c r="O22" s="10" t="e">
        <f aca="false">#REF!*H22</f>
        <v>#REF!</v>
      </c>
      <c r="P22" s="10" t="e">
        <f aca="false">#REF!*H22</f>
        <v>#REF!</v>
      </c>
      <c r="Q22" s="10" t="e">
        <f aca="false">#REF!</f>
        <v>#REF!</v>
      </c>
      <c r="R22" s="10" t="n">
        <v>75.9</v>
      </c>
      <c r="S22" s="22"/>
      <c r="T22" s="22"/>
      <c r="U22" s="22"/>
      <c r="V22" s="22"/>
      <c r="W22" s="22"/>
      <c r="X22" s="22"/>
      <c r="Y22" s="10" t="e">
        <f aca="false">#REF!*E22</f>
        <v>#REF!</v>
      </c>
      <c r="Z22" s="10" t="e">
        <f aca="false">#REF!*D22</f>
        <v>#REF!</v>
      </c>
      <c r="AA22" s="10" t="e">
        <f aca="false">#REF!*E22*10*3</f>
        <v>#REF!</v>
      </c>
      <c r="AB22" s="10" t="e">
        <f aca="false">#REF!*E22*10</f>
        <v>#REF!</v>
      </c>
      <c r="AC22" s="10" t="e">
        <f aca="false">#REF!*D22*5</f>
        <v>#REF!</v>
      </c>
      <c r="AD22" s="10" t="e">
        <f aca="false">#REF!*D22*5</f>
        <v>#REF!</v>
      </c>
      <c r="AE22" s="10" t="e">
        <f aca="false">SUM(M22:AD22)</f>
        <v>#REF!</v>
      </c>
      <c r="AF22" s="14" t="n">
        <v>45195</v>
      </c>
      <c r="AG22" s="14" t="n">
        <v>45184</v>
      </c>
      <c r="AH22" s="15"/>
      <c r="AI22" s="15" t="s">
        <v>45</v>
      </c>
      <c r="AJ22" s="15" t="s">
        <v>45</v>
      </c>
      <c r="AK22" s="16" t="s">
        <v>136</v>
      </c>
      <c r="AL22" s="7" t="n">
        <v>4</v>
      </c>
      <c r="AM22" s="15"/>
      <c r="AN22" s="15"/>
      <c r="AO22" s="15" t="s">
        <v>66</v>
      </c>
      <c r="AP22" s="15"/>
      <c r="AQ22" s="15"/>
    </row>
    <row r="23" customFormat="false" ht="15.75" hidden="false" customHeight="false" outlineLevel="0" collapsed="false">
      <c r="A23" s="7" t="n">
        <v>22</v>
      </c>
      <c r="B23" s="8" t="s">
        <v>137</v>
      </c>
      <c r="C23" s="9" t="s">
        <v>138</v>
      </c>
      <c r="D23" s="15"/>
      <c r="E23" s="15" t="n">
        <v>10</v>
      </c>
      <c r="F23" s="22"/>
      <c r="G23" s="22"/>
      <c r="H23" s="15" t="n">
        <v>220</v>
      </c>
      <c r="I23" s="11" t="n">
        <v>1</v>
      </c>
      <c r="J23" s="10" t="e">
        <f aca="false">+I23*#REF!</f>
        <v>#REF!</v>
      </c>
      <c r="K23" s="23" t="s">
        <v>139</v>
      </c>
      <c r="L23" s="13" t="n">
        <v>4</v>
      </c>
      <c r="M23" s="10" t="e">
        <f aca="false">#REF!*L23</f>
        <v>#REF!</v>
      </c>
      <c r="N23" s="10" t="e">
        <f aca="false">#REF!*L23</f>
        <v>#REF!</v>
      </c>
      <c r="O23" s="10" t="e">
        <f aca="false">#REF!*H23</f>
        <v>#REF!</v>
      </c>
      <c r="P23" s="10" t="e">
        <f aca="false">#REF!*H23</f>
        <v>#REF!</v>
      </c>
      <c r="Q23" s="10" t="e">
        <f aca="false">#REF!</f>
        <v>#REF!</v>
      </c>
      <c r="R23" s="10" t="n">
        <v>75.9</v>
      </c>
      <c r="S23" s="22"/>
      <c r="T23" s="22"/>
      <c r="U23" s="22"/>
      <c r="V23" s="22"/>
      <c r="W23" s="22"/>
      <c r="X23" s="22"/>
      <c r="Y23" s="10" t="e">
        <f aca="false">#REF!*E23</f>
        <v>#REF!</v>
      </c>
      <c r="Z23" s="10" t="e">
        <f aca="false">#REF!*D23</f>
        <v>#REF!</v>
      </c>
      <c r="AA23" s="10" t="e">
        <f aca="false">#REF!*E23*10*3</f>
        <v>#REF!</v>
      </c>
      <c r="AB23" s="10" t="e">
        <f aca="false">#REF!*E23*10</f>
        <v>#REF!</v>
      </c>
      <c r="AC23" s="10" t="e">
        <f aca="false">#REF!*D23*5</f>
        <v>#REF!</v>
      </c>
      <c r="AD23" s="10" t="e">
        <f aca="false">#REF!*D23*5</f>
        <v>#REF!</v>
      </c>
      <c r="AE23" s="10" t="e">
        <f aca="false">SUM(M23:AD23)</f>
        <v>#REF!</v>
      </c>
      <c r="AF23" s="14" t="n">
        <v>45194</v>
      </c>
      <c r="AG23" s="14" t="n">
        <v>45184</v>
      </c>
      <c r="AH23" s="15"/>
      <c r="AI23" s="15" t="s">
        <v>45</v>
      </c>
      <c r="AJ23" s="15" t="s">
        <v>45</v>
      </c>
      <c r="AK23" s="16" t="s">
        <v>140</v>
      </c>
      <c r="AL23" s="7" t="n">
        <v>4</v>
      </c>
      <c r="AM23" s="15"/>
      <c r="AN23" s="15"/>
      <c r="AO23" s="15" t="s">
        <v>66</v>
      </c>
      <c r="AP23" s="15"/>
      <c r="AQ23" s="15"/>
    </row>
    <row r="24" customFormat="false" ht="15.75" hidden="false" customHeight="false" outlineLevel="0" collapsed="false">
      <c r="A24" s="7" t="n">
        <v>23</v>
      </c>
      <c r="B24" s="8" t="s">
        <v>141</v>
      </c>
      <c r="C24" s="24" t="s">
        <v>142</v>
      </c>
      <c r="D24" s="15"/>
      <c r="E24" s="15"/>
      <c r="F24" s="22"/>
      <c r="G24" s="22"/>
      <c r="H24" s="15" t="n">
        <v>150</v>
      </c>
      <c r="I24" s="11" t="n">
        <v>1</v>
      </c>
      <c r="J24" s="10" t="e">
        <f aca="false">+I24*#REF!</f>
        <v>#REF!</v>
      </c>
      <c r="K24" s="23" t="s">
        <v>143</v>
      </c>
      <c r="L24" s="13" t="n">
        <v>4</v>
      </c>
      <c r="M24" s="10" t="e">
        <f aca="false">#REF!*L24</f>
        <v>#REF!</v>
      </c>
      <c r="N24" s="10" t="e">
        <f aca="false">#REF!*L24</f>
        <v>#REF!</v>
      </c>
      <c r="O24" s="10" t="e">
        <f aca="false">#REF!*H24</f>
        <v>#REF!</v>
      </c>
      <c r="P24" s="10" t="e">
        <f aca="false">#REF!*H24</f>
        <v>#REF!</v>
      </c>
      <c r="Q24" s="10" t="e">
        <f aca="false">#REF!</f>
        <v>#REF!</v>
      </c>
      <c r="R24" s="10" t="n">
        <v>75.9</v>
      </c>
      <c r="S24" s="22"/>
      <c r="T24" s="22"/>
      <c r="U24" s="22"/>
      <c r="V24" s="22"/>
      <c r="W24" s="22"/>
      <c r="X24" s="22"/>
      <c r="Y24" s="10" t="e">
        <f aca="false">#REF!*E24</f>
        <v>#REF!</v>
      </c>
      <c r="Z24" s="10" t="e">
        <f aca="false">#REF!*D24</f>
        <v>#REF!</v>
      </c>
      <c r="AA24" s="10" t="e">
        <f aca="false">#REF!*E24*10*3</f>
        <v>#REF!</v>
      </c>
      <c r="AB24" s="10" t="e">
        <f aca="false">#REF!*E24*10</f>
        <v>#REF!</v>
      </c>
      <c r="AC24" s="10" t="e">
        <f aca="false">#REF!*D24*5</f>
        <v>#REF!</v>
      </c>
      <c r="AD24" s="10" t="e">
        <f aca="false">#REF!*D24*5</f>
        <v>#REF!</v>
      </c>
      <c r="AE24" s="10" t="e">
        <f aca="false">SUM(M24:AD24)</f>
        <v>#REF!</v>
      </c>
      <c r="AF24" s="14" t="n">
        <v>45197</v>
      </c>
      <c r="AG24" s="14" t="n">
        <v>45191</v>
      </c>
      <c r="AH24" s="15"/>
      <c r="AI24" s="15"/>
      <c r="AJ24" s="15"/>
      <c r="AK24" s="16" t="s">
        <v>144</v>
      </c>
      <c r="AL24" s="7"/>
      <c r="AM24" s="15"/>
      <c r="AN24" s="15" t="n">
        <v>4</v>
      </c>
      <c r="AO24" s="15" t="s">
        <v>48</v>
      </c>
      <c r="AP24" s="15"/>
      <c r="AQ24" s="15"/>
    </row>
    <row r="25" customFormat="false" ht="15.75" hidden="false" customHeight="false" outlineLevel="0" collapsed="false">
      <c r="A25" s="7" t="n">
        <v>24</v>
      </c>
      <c r="B25" s="8" t="s">
        <v>145</v>
      </c>
      <c r="C25" s="9" t="s">
        <v>146</v>
      </c>
      <c r="D25" s="15"/>
      <c r="E25" s="15"/>
      <c r="F25" s="22"/>
      <c r="G25" s="22"/>
      <c r="H25" s="15" t="n">
        <v>180</v>
      </c>
      <c r="I25" s="11" t="n">
        <v>1</v>
      </c>
      <c r="J25" s="10" t="e">
        <f aca="false">+I25*#REF!</f>
        <v>#REF!</v>
      </c>
      <c r="K25" s="23" t="s">
        <v>147</v>
      </c>
      <c r="L25" s="13" t="n">
        <v>4</v>
      </c>
      <c r="M25" s="10" t="e">
        <f aca="false">#REF!*L25</f>
        <v>#REF!</v>
      </c>
      <c r="N25" s="10" t="e">
        <f aca="false">#REF!*L25</f>
        <v>#REF!</v>
      </c>
      <c r="O25" s="10" t="e">
        <f aca="false">#REF!*H25</f>
        <v>#REF!</v>
      </c>
      <c r="P25" s="10" t="e">
        <f aca="false">#REF!*H25</f>
        <v>#REF!</v>
      </c>
      <c r="Q25" s="10" t="e">
        <f aca="false">#REF!</f>
        <v>#REF!</v>
      </c>
      <c r="R25" s="10" t="n">
        <v>75.9</v>
      </c>
      <c r="S25" s="22"/>
      <c r="T25" s="22"/>
      <c r="U25" s="22"/>
      <c r="V25" s="22"/>
      <c r="W25" s="22"/>
      <c r="X25" s="22"/>
      <c r="Y25" s="10" t="e">
        <f aca="false">#REF!*E25</f>
        <v>#REF!</v>
      </c>
      <c r="Z25" s="10" t="e">
        <f aca="false">#REF!*D25</f>
        <v>#REF!</v>
      </c>
      <c r="AA25" s="10" t="e">
        <f aca="false">#REF!*E25*10*3</f>
        <v>#REF!</v>
      </c>
      <c r="AB25" s="10" t="e">
        <f aca="false">#REF!*E25*10</f>
        <v>#REF!</v>
      </c>
      <c r="AC25" s="10" t="e">
        <f aca="false">#REF!*D25*5</f>
        <v>#REF!</v>
      </c>
      <c r="AD25" s="10" t="e">
        <f aca="false">#REF!*D25*5</f>
        <v>#REF!</v>
      </c>
      <c r="AE25" s="10" t="e">
        <f aca="false">SUM(M25:AD25)</f>
        <v>#REF!</v>
      </c>
      <c r="AF25" s="14" t="n">
        <v>45197</v>
      </c>
      <c r="AG25" s="14" t="n">
        <v>45191</v>
      </c>
      <c r="AH25" s="15"/>
      <c r="AI25" s="15" t="s">
        <v>148</v>
      </c>
      <c r="AJ25" s="15"/>
      <c r="AK25" s="16" t="s">
        <v>149</v>
      </c>
      <c r="AL25" s="7" t="n">
        <v>4</v>
      </c>
      <c r="AM25" s="15"/>
      <c r="AN25" s="15"/>
      <c r="AO25" s="15" t="s">
        <v>66</v>
      </c>
      <c r="AP25" s="15"/>
      <c r="AQ25" s="15"/>
    </row>
    <row r="26" customFormat="false" ht="15.75" hidden="false" customHeight="false" outlineLevel="0" collapsed="false">
      <c r="A26" s="7" t="n">
        <v>25</v>
      </c>
      <c r="B26" s="8" t="s">
        <v>150</v>
      </c>
      <c r="C26" s="9" t="s">
        <v>151</v>
      </c>
      <c r="D26" s="15" t="n">
        <v>5</v>
      </c>
      <c r="E26" s="15"/>
      <c r="F26" s="22"/>
      <c r="G26" s="22"/>
      <c r="H26" s="15" t="n">
        <v>180</v>
      </c>
      <c r="I26" s="11" t="n">
        <v>1</v>
      </c>
      <c r="J26" s="10" t="e">
        <f aca="false">+I26*#REF!</f>
        <v>#REF!</v>
      </c>
      <c r="K26" s="23" t="s">
        <v>152</v>
      </c>
      <c r="L26" s="13" t="n">
        <v>4</v>
      </c>
      <c r="M26" s="10" t="e">
        <f aca="false">#REF!*L26</f>
        <v>#REF!</v>
      </c>
      <c r="N26" s="10" t="e">
        <f aca="false">#REF!*L26</f>
        <v>#REF!</v>
      </c>
      <c r="O26" s="10" t="e">
        <f aca="false">#REF!*H26</f>
        <v>#REF!</v>
      </c>
      <c r="P26" s="10" t="e">
        <f aca="false">#REF!*H26</f>
        <v>#REF!</v>
      </c>
      <c r="Q26" s="10" t="e">
        <f aca="false">#REF!</f>
        <v>#REF!</v>
      </c>
      <c r="R26" s="10" t="n">
        <v>75.9</v>
      </c>
      <c r="S26" s="22"/>
      <c r="T26" s="22"/>
      <c r="U26" s="22"/>
      <c r="V26" s="22"/>
      <c r="W26" s="22"/>
      <c r="X26" s="22"/>
      <c r="Y26" s="10" t="e">
        <f aca="false">#REF!*E26</f>
        <v>#REF!</v>
      </c>
      <c r="Z26" s="10" t="e">
        <f aca="false">#REF!*D26</f>
        <v>#REF!</v>
      </c>
      <c r="AA26" s="10" t="e">
        <f aca="false">#REF!*E26*10*3</f>
        <v>#REF!</v>
      </c>
      <c r="AB26" s="10" t="e">
        <f aca="false">#REF!*E26*10</f>
        <v>#REF!</v>
      </c>
      <c r="AC26" s="10" t="e">
        <f aca="false">#REF!*D26*5</f>
        <v>#REF!</v>
      </c>
      <c r="AD26" s="10" t="e">
        <f aca="false">#REF!*D26*5</f>
        <v>#REF!</v>
      </c>
      <c r="AE26" s="10" t="e">
        <f aca="false">SUM(M26:AD26)</f>
        <v>#REF!</v>
      </c>
      <c r="AF26" s="14" t="n">
        <v>45194</v>
      </c>
      <c r="AG26" s="14" t="n">
        <v>45189</v>
      </c>
      <c r="AH26" s="15"/>
      <c r="AI26" s="15" t="s">
        <v>45</v>
      </c>
      <c r="AJ26" s="15"/>
      <c r="AK26" s="16" t="s">
        <v>153</v>
      </c>
      <c r="AL26" s="7" t="n">
        <v>4</v>
      </c>
      <c r="AM26" s="15"/>
      <c r="AN26" s="15"/>
      <c r="AO26" s="15" t="s">
        <v>66</v>
      </c>
      <c r="AP26" s="15"/>
      <c r="AQ26" s="15"/>
    </row>
    <row r="27" customFormat="false" ht="15.75" hidden="false" customHeight="false" outlineLevel="0" collapsed="false">
      <c r="A27" s="7" t="n">
        <v>26</v>
      </c>
      <c r="B27" s="8" t="s">
        <v>154</v>
      </c>
      <c r="C27" s="17" t="s">
        <v>155</v>
      </c>
      <c r="D27" s="15"/>
      <c r="E27" s="15"/>
      <c r="F27" s="22"/>
      <c r="G27" s="22"/>
      <c r="H27" s="15" t="n">
        <v>170</v>
      </c>
      <c r="I27" s="11" t="n">
        <v>1</v>
      </c>
      <c r="J27" s="10" t="e">
        <f aca="false">+I27*#REF!</f>
        <v>#REF!</v>
      </c>
      <c r="K27" s="23" t="s">
        <v>156</v>
      </c>
      <c r="L27" s="13" t="n">
        <v>4</v>
      </c>
      <c r="M27" s="10" t="e">
        <f aca="false">#REF!*L27</f>
        <v>#REF!</v>
      </c>
      <c r="N27" s="10" t="e">
        <f aca="false">#REF!*L27</f>
        <v>#REF!</v>
      </c>
      <c r="O27" s="10" t="e">
        <f aca="false">#REF!*H27</f>
        <v>#REF!</v>
      </c>
      <c r="P27" s="10" t="e">
        <f aca="false">#REF!*H27</f>
        <v>#REF!</v>
      </c>
      <c r="Q27" s="10" t="e">
        <f aca="false">#REF!</f>
        <v>#REF!</v>
      </c>
      <c r="R27" s="10" t="n">
        <v>75.9</v>
      </c>
      <c r="S27" s="22"/>
      <c r="T27" s="22"/>
      <c r="U27" s="22"/>
      <c r="V27" s="22"/>
      <c r="W27" s="22"/>
      <c r="X27" s="22"/>
      <c r="Y27" s="10" t="e">
        <f aca="false">#REF!*E27</f>
        <v>#REF!</v>
      </c>
      <c r="Z27" s="10" t="e">
        <f aca="false">#REF!*D27</f>
        <v>#REF!</v>
      </c>
      <c r="AA27" s="10" t="e">
        <f aca="false">#REF!*E27*10*3</f>
        <v>#REF!</v>
      </c>
      <c r="AB27" s="10" t="e">
        <f aca="false">#REF!*E27*10</f>
        <v>#REF!</v>
      </c>
      <c r="AC27" s="10" t="e">
        <f aca="false">#REF!*D27*5</f>
        <v>#REF!</v>
      </c>
      <c r="AD27" s="10" t="e">
        <f aca="false">#REF!*D27*5</f>
        <v>#REF!</v>
      </c>
      <c r="AE27" s="10" t="e">
        <f aca="false">SUM(M27:AD27)</f>
        <v>#REF!</v>
      </c>
      <c r="AF27" s="14" t="n">
        <v>45195</v>
      </c>
      <c r="AG27" s="14" t="n">
        <v>45190</v>
      </c>
      <c r="AH27" s="14" t="n">
        <v>45289</v>
      </c>
      <c r="AI27" s="15"/>
      <c r="AJ27" s="15"/>
      <c r="AK27" s="16" t="s">
        <v>157</v>
      </c>
      <c r="AL27" s="7"/>
      <c r="AM27" s="15"/>
      <c r="AN27" s="15" t="n">
        <v>4</v>
      </c>
      <c r="AO27" s="15" t="s">
        <v>66</v>
      </c>
      <c r="AP27" s="15"/>
      <c r="AQ27" s="15"/>
    </row>
    <row r="28" customFormat="false" ht="15.75" hidden="false" customHeight="false" outlineLevel="0" collapsed="false">
      <c r="A28" s="7" t="n">
        <v>27</v>
      </c>
      <c r="B28" s="8" t="s">
        <v>158</v>
      </c>
      <c r="C28" s="9" t="s">
        <v>159</v>
      </c>
      <c r="D28" s="15"/>
      <c r="E28" s="15" t="n">
        <v>16</v>
      </c>
      <c r="F28" s="22"/>
      <c r="G28" s="22"/>
      <c r="H28" s="15" t="n">
        <v>180</v>
      </c>
      <c r="I28" s="11" t="n">
        <v>1</v>
      </c>
      <c r="J28" s="10" t="e">
        <f aca="false">+I28*#REF!</f>
        <v>#REF!</v>
      </c>
      <c r="K28" s="23" t="s">
        <v>160</v>
      </c>
      <c r="L28" s="13" t="n">
        <v>4</v>
      </c>
      <c r="M28" s="10" t="e">
        <f aca="false">#REF!*L28</f>
        <v>#REF!</v>
      </c>
      <c r="N28" s="10" t="e">
        <f aca="false">#REF!*L28</f>
        <v>#REF!</v>
      </c>
      <c r="O28" s="10" t="e">
        <f aca="false">#REF!*H28</f>
        <v>#REF!</v>
      </c>
      <c r="P28" s="10" t="e">
        <f aca="false">#REF!*H28</f>
        <v>#REF!</v>
      </c>
      <c r="Q28" s="10" t="e">
        <f aca="false">#REF!</f>
        <v>#REF!</v>
      </c>
      <c r="R28" s="10" t="n">
        <v>75.9</v>
      </c>
      <c r="S28" s="22"/>
      <c r="T28" s="22"/>
      <c r="U28" s="22"/>
      <c r="V28" s="22"/>
      <c r="W28" s="22"/>
      <c r="X28" s="22"/>
      <c r="Y28" s="10" t="e">
        <f aca="false">#REF!*E28</f>
        <v>#REF!</v>
      </c>
      <c r="Z28" s="10" t="e">
        <f aca="false">#REF!*D28</f>
        <v>#REF!</v>
      </c>
      <c r="AA28" s="10" t="e">
        <f aca="false">#REF!*E28*10*3</f>
        <v>#REF!</v>
      </c>
      <c r="AB28" s="10" t="e">
        <f aca="false">#REF!*E28*10</f>
        <v>#REF!</v>
      </c>
      <c r="AC28" s="10" t="e">
        <f aca="false">#REF!*D28*5</f>
        <v>#REF!</v>
      </c>
      <c r="AD28" s="10" t="e">
        <f aca="false">#REF!*D28*5</f>
        <v>#REF!</v>
      </c>
      <c r="AE28" s="10" t="e">
        <f aca="false">SUM(M28:AD28)</f>
        <v>#REF!</v>
      </c>
      <c r="AF28" s="14" t="n">
        <v>45194</v>
      </c>
      <c r="AG28" s="14" t="n">
        <v>45189</v>
      </c>
      <c r="AH28" s="15"/>
      <c r="AI28" s="18" t="s">
        <v>161</v>
      </c>
      <c r="AJ28" s="15"/>
      <c r="AK28" s="16" t="s">
        <v>162</v>
      </c>
      <c r="AL28" s="7" t="s">
        <v>163</v>
      </c>
      <c r="AM28" s="15"/>
      <c r="AN28" s="15"/>
      <c r="AO28" s="15" t="s">
        <v>66</v>
      </c>
      <c r="AP28" s="15"/>
      <c r="AQ28" s="15"/>
    </row>
    <row r="29" customFormat="false" ht="15.75" hidden="false" customHeight="false" outlineLevel="0" collapsed="false">
      <c r="A29" s="7" t="n">
        <v>28</v>
      </c>
      <c r="B29" s="8" t="s">
        <v>164</v>
      </c>
      <c r="C29" s="17" t="s">
        <v>165</v>
      </c>
      <c r="D29" s="15"/>
      <c r="E29" s="15"/>
      <c r="F29" s="22"/>
      <c r="G29" s="22"/>
      <c r="H29" s="15" t="n">
        <v>75</v>
      </c>
      <c r="I29" s="11" t="n">
        <v>1</v>
      </c>
      <c r="J29" s="10" t="e">
        <f aca="false">+I29*#REF!</f>
        <v>#REF!</v>
      </c>
      <c r="K29" s="23" t="s">
        <v>166</v>
      </c>
      <c r="L29" s="13" t="n">
        <v>3</v>
      </c>
      <c r="M29" s="10" t="e">
        <f aca="false">#REF!*L29</f>
        <v>#REF!</v>
      </c>
      <c r="N29" s="10" t="e">
        <f aca="false">#REF!*L29</f>
        <v>#REF!</v>
      </c>
      <c r="O29" s="10" t="e">
        <f aca="false">#REF!*H29</f>
        <v>#REF!</v>
      </c>
      <c r="P29" s="10" t="e">
        <f aca="false">#REF!*H29</f>
        <v>#REF!</v>
      </c>
      <c r="Q29" s="10" t="e">
        <f aca="false">#REF!</f>
        <v>#REF!</v>
      </c>
      <c r="R29" s="10" t="n">
        <v>75.9</v>
      </c>
      <c r="S29" s="22"/>
      <c r="T29" s="22"/>
      <c r="U29" s="22"/>
      <c r="V29" s="22"/>
      <c r="W29" s="22"/>
      <c r="X29" s="22"/>
      <c r="Y29" s="10" t="e">
        <f aca="false">#REF!*E29</f>
        <v>#REF!</v>
      </c>
      <c r="Z29" s="10" t="e">
        <f aca="false">#REF!*D29</f>
        <v>#REF!</v>
      </c>
      <c r="AA29" s="10" t="e">
        <f aca="false">#REF!*E29*10*3</f>
        <v>#REF!</v>
      </c>
      <c r="AB29" s="10" t="e">
        <f aca="false">#REF!*E29*10</f>
        <v>#REF!</v>
      </c>
      <c r="AC29" s="10" t="e">
        <f aca="false">#REF!*D29*5</f>
        <v>#REF!</v>
      </c>
      <c r="AD29" s="10" t="e">
        <f aca="false">#REF!*D29*5</f>
        <v>#REF!</v>
      </c>
      <c r="AE29" s="10" t="e">
        <f aca="false">SUM(M29:AD29)</f>
        <v>#REF!</v>
      </c>
      <c r="AF29" s="14" t="n">
        <v>45194</v>
      </c>
      <c r="AG29" s="14" t="n">
        <v>45189</v>
      </c>
      <c r="AH29" s="14" t="n">
        <v>45293</v>
      </c>
      <c r="AI29" s="15"/>
      <c r="AJ29" s="15"/>
      <c r="AK29" s="16" t="s">
        <v>167</v>
      </c>
      <c r="AL29" s="7"/>
      <c r="AM29" s="15"/>
      <c r="AN29" s="15" t="n">
        <v>3</v>
      </c>
      <c r="AO29" s="15" t="s">
        <v>66</v>
      </c>
      <c r="AP29" s="15"/>
      <c r="AQ29" s="15"/>
    </row>
    <row r="30" customFormat="false" ht="15.75" hidden="false" customHeight="false" outlineLevel="0" collapsed="false">
      <c r="A30" s="7" t="n">
        <v>29</v>
      </c>
      <c r="B30" s="8" t="s">
        <v>168</v>
      </c>
      <c r="C30" s="17" t="s">
        <v>169</v>
      </c>
      <c r="D30" s="15"/>
      <c r="E30" s="15"/>
      <c r="F30" s="22"/>
      <c r="G30" s="22"/>
      <c r="H30" s="15" t="n">
        <v>210</v>
      </c>
      <c r="I30" s="11" t="n">
        <v>1</v>
      </c>
      <c r="J30" s="10" t="e">
        <f aca="false">+I30*#REF!</f>
        <v>#REF!</v>
      </c>
      <c r="K30" s="23" t="s">
        <v>170</v>
      </c>
      <c r="L30" s="13" t="n">
        <v>4</v>
      </c>
      <c r="M30" s="10" t="e">
        <f aca="false">#REF!*L30</f>
        <v>#REF!</v>
      </c>
      <c r="N30" s="10" t="e">
        <f aca="false">#REF!*L30</f>
        <v>#REF!</v>
      </c>
      <c r="O30" s="10" t="e">
        <f aca="false">#REF!*H30</f>
        <v>#REF!</v>
      </c>
      <c r="P30" s="10" t="e">
        <f aca="false">#REF!*H30</f>
        <v>#REF!</v>
      </c>
      <c r="Q30" s="10" t="e">
        <f aca="false">#REF!</f>
        <v>#REF!</v>
      </c>
      <c r="R30" s="10" t="n">
        <v>75.9</v>
      </c>
      <c r="S30" s="22"/>
      <c r="T30" s="22"/>
      <c r="U30" s="22"/>
      <c r="V30" s="22"/>
      <c r="W30" s="22"/>
      <c r="X30" s="22"/>
      <c r="Y30" s="10" t="e">
        <f aca="false">#REF!*E30</f>
        <v>#REF!</v>
      </c>
      <c r="Z30" s="10" t="e">
        <f aca="false">#REF!*D30</f>
        <v>#REF!</v>
      </c>
      <c r="AA30" s="10" t="e">
        <f aca="false">#REF!*E30*10*3</f>
        <v>#REF!</v>
      </c>
      <c r="AB30" s="10" t="e">
        <f aca="false">#REF!*E30*10</f>
        <v>#REF!</v>
      </c>
      <c r="AC30" s="10" t="e">
        <f aca="false">#REF!*D30*5</f>
        <v>#REF!</v>
      </c>
      <c r="AD30" s="10" t="e">
        <f aca="false">#REF!*D30*5</f>
        <v>#REF!</v>
      </c>
      <c r="AE30" s="10" t="e">
        <f aca="false">SUM(M30:AD30)</f>
        <v>#REF!</v>
      </c>
      <c r="AF30" s="14" t="n">
        <v>45194</v>
      </c>
      <c r="AG30" s="14" t="n">
        <v>45189</v>
      </c>
      <c r="AH30" s="14" t="n">
        <v>45371</v>
      </c>
      <c r="AI30" s="15"/>
      <c r="AJ30" s="15"/>
      <c r="AK30" s="16" t="s">
        <v>171</v>
      </c>
      <c r="AL30" s="7"/>
      <c r="AM30" s="15"/>
      <c r="AN30" s="15" t="n">
        <v>4</v>
      </c>
      <c r="AO30" s="15" t="s">
        <v>66</v>
      </c>
      <c r="AP30" s="15"/>
      <c r="AQ30" s="15"/>
    </row>
    <row r="31" customFormat="false" ht="15.75" hidden="false" customHeight="false" outlineLevel="0" collapsed="false">
      <c r="A31" s="7" t="n">
        <v>30</v>
      </c>
      <c r="B31" s="8" t="s">
        <v>172</v>
      </c>
      <c r="C31" s="17" t="s">
        <v>173</v>
      </c>
      <c r="D31" s="15"/>
      <c r="E31" s="15"/>
      <c r="F31" s="22"/>
      <c r="G31" s="22"/>
      <c r="H31" s="15" t="n">
        <v>230</v>
      </c>
      <c r="I31" s="11" t="n">
        <v>1</v>
      </c>
      <c r="J31" s="10" t="e">
        <f aca="false">+I31*#REF!</f>
        <v>#REF!</v>
      </c>
      <c r="K31" s="23" t="s">
        <v>174</v>
      </c>
      <c r="L31" s="13" t="n">
        <v>4</v>
      </c>
      <c r="M31" s="10" t="e">
        <f aca="false">#REF!*L31</f>
        <v>#REF!</v>
      </c>
      <c r="N31" s="10" t="e">
        <f aca="false">#REF!*L31</f>
        <v>#REF!</v>
      </c>
      <c r="O31" s="10" t="e">
        <f aca="false">#REF!*H31</f>
        <v>#REF!</v>
      </c>
      <c r="P31" s="10" t="e">
        <f aca="false">#REF!*H31</f>
        <v>#REF!</v>
      </c>
      <c r="Q31" s="10" t="e">
        <f aca="false">#REF!</f>
        <v>#REF!</v>
      </c>
      <c r="R31" s="10" t="n">
        <v>75.9</v>
      </c>
      <c r="S31" s="22"/>
      <c r="T31" s="22"/>
      <c r="U31" s="22"/>
      <c r="V31" s="22"/>
      <c r="W31" s="22"/>
      <c r="X31" s="22"/>
      <c r="Y31" s="10" t="e">
        <f aca="false">#REF!*E31</f>
        <v>#REF!</v>
      </c>
      <c r="Z31" s="10" t="e">
        <f aca="false">#REF!*D31</f>
        <v>#REF!</v>
      </c>
      <c r="AA31" s="10" t="e">
        <f aca="false">#REF!*E31*10*3</f>
        <v>#REF!</v>
      </c>
      <c r="AB31" s="10" t="e">
        <f aca="false">#REF!*E31*10</f>
        <v>#REF!</v>
      </c>
      <c r="AC31" s="10" t="e">
        <f aca="false">#REF!*D31*5</f>
        <v>#REF!</v>
      </c>
      <c r="AD31" s="10" t="e">
        <f aca="false">#REF!*D31*5</f>
        <v>#REF!</v>
      </c>
      <c r="AE31" s="10" t="e">
        <f aca="false">SUM(M31:AD31)</f>
        <v>#REF!</v>
      </c>
      <c r="AF31" s="14" t="n">
        <v>45197</v>
      </c>
      <c r="AG31" s="14" t="n">
        <v>45191</v>
      </c>
      <c r="AH31" s="14" t="n">
        <v>45280</v>
      </c>
      <c r="AI31" s="15"/>
      <c r="AJ31" s="15"/>
      <c r="AK31" s="16" t="s">
        <v>175</v>
      </c>
      <c r="AL31" s="7"/>
      <c r="AM31" s="15"/>
      <c r="AN31" s="15" t="n">
        <v>4</v>
      </c>
      <c r="AO31" s="15" t="s">
        <v>66</v>
      </c>
      <c r="AP31" s="15"/>
      <c r="AQ31" s="15"/>
    </row>
    <row r="32" customFormat="false" ht="15.75" hidden="false" customHeight="false" outlineLevel="0" collapsed="false">
      <c r="A32" s="7" t="n">
        <v>31</v>
      </c>
      <c r="B32" s="8" t="s">
        <v>176</v>
      </c>
      <c r="C32" s="9" t="s">
        <v>177</v>
      </c>
      <c r="D32" s="15" t="n">
        <v>5</v>
      </c>
      <c r="E32" s="15"/>
      <c r="F32" s="22"/>
      <c r="G32" s="22"/>
      <c r="H32" s="15" t="n">
        <v>210</v>
      </c>
      <c r="I32" s="11" t="n">
        <v>1</v>
      </c>
      <c r="J32" s="10" t="e">
        <f aca="false">+I32*#REF!</f>
        <v>#REF!</v>
      </c>
      <c r="K32" s="23" t="s">
        <v>178</v>
      </c>
      <c r="L32" s="13" t="n">
        <v>4</v>
      </c>
      <c r="M32" s="10" t="e">
        <f aca="false">#REF!*L32</f>
        <v>#REF!</v>
      </c>
      <c r="N32" s="10" t="e">
        <f aca="false">#REF!*L32</f>
        <v>#REF!</v>
      </c>
      <c r="O32" s="10" t="e">
        <f aca="false">#REF!*H32</f>
        <v>#REF!</v>
      </c>
      <c r="P32" s="10" t="e">
        <f aca="false">#REF!*H32</f>
        <v>#REF!</v>
      </c>
      <c r="Q32" s="10" t="e">
        <f aca="false">#REF!</f>
        <v>#REF!</v>
      </c>
      <c r="R32" s="10" t="n">
        <v>75.9</v>
      </c>
      <c r="S32" s="22"/>
      <c r="T32" s="22"/>
      <c r="U32" s="22"/>
      <c r="V32" s="22"/>
      <c r="W32" s="22"/>
      <c r="X32" s="22"/>
      <c r="Y32" s="10" t="e">
        <f aca="false">#REF!*E32</f>
        <v>#REF!</v>
      </c>
      <c r="Z32" s="10" t="e">
        <f aca="false">#REF!*D32</f>
        <v>#REF!</v>
      </c>
      <c r="AA32" s="10" t="e">
        <f aca="false">#REF!*E32*10*3</f>
        <v>#REF!</v>
      </c>
      <c r="AB32" s="10" t="e">
        <f aca="false">#REF!*E32*10</f>
        <v>#REF!</v>
      </c>
      <c r="AC32" s="10" t="e">
        <f aca="false">#REF!*D32*5</f>
        <v>#REF!</v>
      </c>
      <c r="AD32" s="10" t="e">
        <f aca="false">#REF!*D32*5</f>
        <v>#REF!</v>
      </c>
      <c r="AE32" s="10" t="e">
        <f aca="false">SUM(M32:AD32)</f>
        <v>#REF!</v>
      </c>
      <c r="AF32" s="14" t="n">
        <v>45196</v>
      </c>
      <c r="AG32" s="14" t="n">
        <v>45191</v>
      </c>
      <c r="AH32" s="15"/>
      <c r="AI32" s="15" t="s">
        <v>45</v>
      </c>
      <c r="AJ32" s="15"/>
      <c r="AK32" s="16" t="s">
        <v>179</v>
      </c>
      <c r="AL32" s="7" t="n">
        <v>4</v>
      </c>
      <c r="AM32" s="15"/>
      <c r="AN32" s="15"/>
      <c r="AO32" s="15" t="s">
        <v>66</v>
      </c>
      <c r="AP32" s="15"/>
      <c r="AQ32" s="15"/>
    </row>
    <row r="33" customFormat="false" ht="15.75" hidden="false" customHeight="false" outlineLevel="0" collapsed="false">
      <c r="A33" s="7" t="n">
        <v>32</v>
      </c>
      <c r="B33" s="8" t="s">
        <v>180</v>
      </c>
      <c r="C33" s="9" t="s">
        <v>181</v>
      </c>
      <c r="D33" s="15"/>
      <c r="E33" s="15"/>
      <c r="F33" s="22"/>
      <c r="G33" s="22"/>
      <c r="H33" s="15" t="n">
        <v>105</v>
      </c>
      <c r="I33" s="11" t="n">
        <v>1</v>
      </c>
      <c r="J33" s="10" t="e">
        <f aca="false">+I33*#REF!</f>
        <v>#REF!</v>
      </c>
      <c r="K33" s="23" t="s">
        <v>182</v>
      </c>
      <c r="L33" s="13" t="n">
        <v>3</v>
      </c>
      <c r="M33" s="10" t="e">
        <f aca="false">#REF!*L33</f>
        <v>#REF!</v>
      </c>
      <c r="N33" s="10" t="e">
        <f aca="false">#REF!*L33</f>
        <v>#REF!</v>
      </c>
      <c r="O33" s="10" t="e">
        <f aca="false">#REF!*H33</f>
        <v>#REF!</v>
      </c>
      <c r="P33" s="10" t="e">
        <f aca="false">#REF!*H33</f>
        <v>#REF!</v>
      </c>
      <c r="Q33" s="10" t="e">
        <f aca="false">#REF!</f>
        <v>#REF!</v>
      </c>
      <c r="R33" s="10" t="n">
        <v>75.9</v>
      </c>
      <c r="S33" s="22"/>
      <c r="T33" s="22"/>
      <c r="U33" s="22"/>
      <c r="V33" s="22"/>
      <c r="W33" s="22"/>
      <c r="X33" s="22"/>
      <c r="Y33" s="10" t="e">
        <f aca="false">#REF!*E33</f>
        <v>#REF!</v>
      </c>
      <c r="Z33" s="10" t="e">
        <f aca="false">#REF!*D33</f>
        <v>#REF!</v>
      </c>
      <c r="AA33" s="10" t="e">
        <f aca="false">#REF!*E33*10*3</f>
        <v>#REF!</v>
      </c>
      <c r="AB33" s="10" t="e">
        <f aca="false">#REF!*E33*10</f>
        <v>#REF!</v>
      </c>
      <c r="AC33" s="10" t="e">
        <f aca="false">#REF!*D33*5</f>
        <v>#REF!</v>
      </c>
      <c r="AD33" s="10" t="e">
        <f aca="false">#REF!*D33*5</f>
        <v>#REF!</v>
      </c>
      <c r="AE33" s="10" t="e">
        <f aca="false">SUM(M33:AD33)</f>
        <v>#REF!</v>
      </c>
      <c r="AF33" s="14" t="n">
        <v>45196</v>
      </c>
      <c r="AG33" s="14" t="n">
        <v>45191</v>
      </c>
      <c r="AH33" s="15"/>
      <c r="AI33" s="15" t="s">
        <v>45</v>
      </c>
      <c r="AJ33" s="15" t="s">
        <v>45</v>
      </c>
      <c r="AK33" s="16" t="s">
        <v>183</v>
      </c>
      <c r="AL33" s="7"/>
      <c r="AM33" s="15" t="n">
        <v>3</v>
      </c>
      <c r="AN33" s="15"/>
      <c r="AO33" s="15" t="s">
        <v>48</v>
      </c>
      <c r="AP33" s="15"/>
      <c r="AQ33" s="15"/>
    </row>
    <row r="34" customFormat="false" ht="15.75" hidden="false" customHeight="false" outlineLevel="0" collapsed="false">
      <c r="A34" s="7" t="n">
        <v>33</v>
      </c>
      <c r="B34" s="8" t="s">
        <v>184</v>
      </c>
      <c r="C34" s="9" t="s">
        <v>185</v>
      </c>
      <c r="D34" s="15"/>
      <c r="E34" s="15"/>
      <c r="F34" s="22"/>
      <c r="G34" s="22"/>
      <c r="H34" s="15" t="n">
        <v>270</v>
      </c>
      <c r="I34" s="11" t="n">
        <v>1</v>
      </c>
      <c r="J34" s="10" t="e">
        <f aca="false">+I34*#REF!</f>
        <v>#REF!</v>
      </c>
      <c r="K34" s="23" t="s">
        <v>186</v>
      </c>
      <c r="L34" s="13" t="n">
        <v>4</v>
      </c>
      <c r="M34" s="10" t="e">
        <f aca="false">#REF!*L34</f>
        <v>#REF!</v>
      </c>
      <c r="N34" s="10" t="e">
        <f aca="false">#REF!*L34</f>
        <v>#REF!</v>
      </c>
      <c r="O34" s="10" t="e">
        <f aca="false">#REF!*H34</f>
        <v>#REF!</v>
      </c>
      <c r="P34" s="10" t="e">
        <f aca="false">#REF!*H34</f>
        <v>#REF!</v>
      </c>
      <c r="Q34" s="10" t="e">
        <f aca="false">#REF!</f>
        <v>#REF!</v>
      </c>
      <c r="R34" s="10" t="n">
        <v>75.9</v>
      </c>
      <c r="S34" s="22"/>
      <c r="T34" s="22"/>
      <c r="U34" s="22"/>
      <c r="V34" s="22"/>
      <c r="W34" s="22"/>
      <c r="X34" s="22"/>
      <c r="Y34" s="10" t="e">
        <f aca="false">#REF!*E34</f>
        <v>#REF!</v>
      </c>
      <c r="Z34" s="10" t="e">
        <f aca="false">#REF!*D34</f>
        <v>#REF!</v>
      </c>
      <c r="AA34" s="10" t="e">
        <f aca="false">#REF!*E34*10*3</f>
        <v>#REF!</v>
      </c>
      <c r="AB34" s="10" t="e">
        <f aca="false">#REF!*E34*10</f>
        <v>#REF!</v>
      </c>
      <c r="AC34" s="10" t="e">
        <f aca="false">#REF!*D34*5</f>
        <v>#REF!</v>
      </c>
      <c r="AD34" s="10" t="e">
        <f aca="false">#REF!*D34*5</f>
        <v>#REF!</v>
      </c>
      <c r="AE34" s="10" t="e">
        <f aca="false">SUM(M34:AD34)</f>
        <v>#REF!</v>
      </c>
      <c r="AF34" s="14" t="n">
        <v>45196</v>
      </c>
      <c r="AG34" s="14" t="n">
        <v>45191</v>
      </c>
      <c r="AH34" s="15"/>
      <c r="AI34" s="15" t="s">
        <v>45</v>
      </c>
      <c r="AJ34" s="15"/>
      <c r="AK34" s="16" t="s">
        <v>187</v>
      </c>
      <c r="AL34" s="7" t="n">
        <v>4</v>
      </c>
      <c r="AM34" s="15"/>
      <c r="AN34" s="15"/>
      <c r="AO34" s="15" t="s">
        <v>48</v>
      </c>
      <c r="AP34" s="15"/>
      <c r="AQ34" s="15"/>
    </row>
    <row r="35" customFormat="false" ht="15.75" hidden="false" customHeight="false" outlineLevel="0" collapsed="false">
      <c r="A35" s="7" t="n">
        <v>34</v>
      </c>
      <c r="B35" s="8" t="s">
        <v>188</v>
      </c>
      <c r="C35" s="9" t="s">
        <v>189</v>
      </c>
      <c r="D35" s="15" t="n">
        <v>5</v>
      </c>
      <c r="E35" s="15"/>
      <c r="F35" s="22"/>
      <c r="G35" s="22"/>
      <c r="H35" s="15" t="n">
        <v>265</v>
      </c>
      <c r="I35" s="11" t="n">
        <v>1</v>
      </c>
      <c r="J35" s="10" t="e">
        <f aca="false">+I35*#REF!</f>
        <v>#REF!</v>
      </c>
      <c r="K35" s="23" t="s">
        <v>190</v>
      </c>
      <c r="L35" s="13" t="n">
        <v>3</v>
      </c>
      <c r="M35" s="10" t="e">
        <f aca="false">#REF!*L35</f>
        <v>#REF!</v>
      </c>
      <c r="N35" s="10" t="e">
        <f aca="false">#REF!*L35</f>
        <v>#REF!</v>
      </c>
      <c r="O35" s="10" t="e">
        <f aca="false">#REF!*H35</f>
        <v>#REF!</v>
      </c>
      <c r="P35" s="10" t="e">
        <f aca="false">#REF!*H35</f>
        <v>#REF!</v>
      </c>
      <c r="Q35" s="10" t="e">
        <f aca="false">#REF!</f>
        <v>#REF!</v>
      </c>
      <c r="R35" s="10" t="n">
        <v>75.9</v>
      </c>
      <c r="S35" s="22"/>
      <c r="T35" s="22"/>
      <c r="U35" s="22"/>
      <c r="V35" s="22"/>
      <c r="W35" s="22"/>
      <c r="X35" s="22"/>
      <c r="Y35" s="10" t="e">
        <f aca="false">#REF!*E35</f>
        <v>#REF!</v>
      </c>
      <c r="Z35" s="10" t="e">
        <f aca="false">#REF!*D35</f>
        <v>#REF!</v>
      </c>
      <c r="AA35" s="10" t="e">
        <f aca="false">#REF!*E35*10*3</f>
        <v>#REF!</v>
      </c>
      <c r="AB35" s="10" t="e">
        <f aca="false">#REF!*E35*10</f>
        <v>#REF!</v>
      </c>
      <c r="AC35" s="10" t="e">
        <f aca="false">#REF!*D35*5</f>
        <v>#REF!</v>
      </c>
      <c r="AD35" s="10" t="e">
        <f aca="false">#REF!*D35*5</f>
        <v>#REF!</v>
      </c>
      <c r="AE35" s="10" t="e">
        <f aca="false">SUM(M35:AD35)</f>
        <v>#REF!</v>
      </c>
      <c r="AF35" s="14" t="n">
        <v>45196</v>
      </c>
      <c r="AG35" s="14" t="n">
        <v>45191</v>
      </c>
      <c r="AH35" s="15"/>
      <c r="AI35" s="15" t="s">
        <v>45</v>
      </c>
      <c r="AJ35" s="15" t="s">
        <v>45</v>
      </c>
      <c r="AK35" s="16" t="s">
        <v>191</v>
      </c>
      <c r="AL35" s="7" t="n">
        <v>3</v>
      </c>
      <c r="AM35" s="15"/>
      <c r="AN35" s="15"/>
      <c r="AO35" s="15" t="s">
        <v>48</v>
      </c>
      <c r="AP35" s="15"/>
      <c r="AQ35" s="15"/>
    </row>
    <row r="36" customFormat="false" ht="15.75" hidden="false" customHeight="false" outlineLevel="0" collapsed="false">
      <c r="A36" s="7" t="n">
        <v>35</v>
      </c>
      <c r="B36" s="8" t="s">
        <v>192</v>
      </c>
      <c r="C36" s="9" t="s">
        <v>193</v>
      </c>
      <c r="D36" s="15"/>
      <c r="E36" s="15"/>
      <c r="F36" s="22"/>
      <c r="G36" s="22"/>
      <c r="H36" s="15" t="n">
        <v>120</v>
      </c>
      <c r="I36" s="11" t="n">
        <v>1</v>
      </c>
      <c r="J36" s="10" t="e">
        <f aca="false">+I36*#REF!</f>
        <v>#REF!</v>
      </c>
      <c r="K36" s="23" t="s">
        <v>194</v>
      </c>
      <c r="L36" s="13" t="n">
        <v>3</v>
      </c>
      <c r="M36" s="10" t="e">
        <f aca="false">#REF!*L36</f>
        <v>#REF!</v>
      </c>
      <c r="N36" s="10" t="e">
        <f aca="false">#REF!*L36</f>
        <v>#REF!</v>
      </c>
      <c r="O36" s="10" t="e">
        <f aca="false">#REF!*H36</f>
        <v>#REF!</v>
      </c>
      <c r="P36" s="10" t="e">
        <f aca="false">#REF!*H36</f>
        <v>#REF!</v>
      </c>
      <c r="Q36" s="10" t="e">
        <f aca="false">#REF!</f>
        <v>#REF!</v>
      </c>
      <c r="R36" s="10" t="n">
        <v>75.9</v>
      </c>
      <c r="S36" s="22"/>
      <c r="T36" s="22"/>
      <c r="U36" s="22"/>
      <c r="V36" s="22"/>
      <c r="W36" s="22"/>
      <c r="X36" s="22"/>
      <c r="Y36" s="10" t="e">
        <f aca="false">#REF!*E36</f>
        <v>#REF!</v>
      </c>
      <c r="Z36" s="10" t="e">
        <f aca="false">#REF!*D36</f>
        <v>#REF!</v>
      </c>
      <c r="AA36" s="10" t="e">
        <f aca="false">#REF!*E36*10*3</f>
        <v>#REF!</v>
      </c>
      <c r="AB36" s="10" t="e">
        <f aca="false">#REF!*E36*10</f>
        <v>#REF!</v>
      </c>
      <c r="AC36" s="10" t="e">
        <f aca="false">#REF!*D36*5</f>
        <v>#REF!</v>
      </c>
      <c r="AD36" s="10" t="e">
        <f aca="false">#REF!*D36*5</f>
        <v>#REF!</v>
      </c>
      <c r="AE36" s="10" t="e">
        <f aca="false">SUM(M36:AD36)</f>
        <v>#REF!</v>
      </c>
      <c r="AF36" s="14" t="n">
        <v>45196</v>
      </c>
      <c r="AG36" s="14" t="n">
        <v>45191</v>
      </c>
      <c r="AH36" s="15"/>
      <c r="AI36" s="15" t="s">
        <v>45</v>
      </c>
      <c r="AJ36" s="15" t="s">
        <v>45</v>
      </c>
      <c r="AK36" s="16" t="s">
        <v>195</v>
      </c>
      <c r="AL36" s="7" t="n">
        <v>3</v>
      </c>
      <c r="AM36" s="15"/>
      <c r="AN36" s="15"/>
      <c r="AO36" s="15" t="s">
        <v>48</v>
      </c>
      <c r="AP36" s="15"/>
      <c r="AQ36" s="15"/>
    </row>
    <row r="37" customFormat="false" ht="15.75" hidden="false" customHeight="false" outlineLevel="0" collapsed="false">
      <c r="A37" s="7" t="n">
        <v>36</v>
      </c>
      <c r="B37" s="8" t="s">
        <v>196</v>
      </c>
      <c r="C37" s="9" t="s">
        <v>197</v>
      </c>
      <c r="D37" s="15"/>
      <c r="E37" s="15"/>
      <c r="F37" s="22"/>
      <c r="G37" s="22"/>
      <c r="H37" s="15" t="n">
        <v>110</v>
      </c>
      <c r="I37" s="11" t="n">
        <v>1</v>
      </c>
      <c r="J37" s="10" t="e">
        <f aca="false">+I37*#REF!</f>
        <v>#REF!</v>
      </c>
      <c r="K37" s="23" t="s">
        <v>198</v>
      </c>
      <c r="L37" s="13" t="n">
        <v>3</v>
      </c>
      <c r="M37" s="10" t="e">
        <f aca="false">#REF!*L37</f>
        <v>#REF!</v>
      </c>
      <c r="N37" s="10" t="e">
        <f aca="false">#REF!*L37</f>
        <v>#REF!</v>
      </c>
      <c r="O37" s="10" t="e">
        <f aca="false">#REF!*H37</f>
        <v>#REF!</v>
      </c>
      <c r="P37" s="10" t="e">
        <f aca="false">#REF!*H37</f>
        <v>#REF!</v>
      </c>
      <c r="Q37" s="10" t="e">
        <f aca="false">#REF!</f>
        <v>#REF!</v>
      </c>
      <c r="R37" s="10" t="n">
        <v>75.9</v>
      </c>
      <c r="S37" s="22"/>
      <c r="T37" s="22"/>
      <c r="U37" s="22"/>
      <c r="V37" s="22"/>
      <c r="W37" s="22"/>
      <c r="X37" s="22"/>
      <c r="Y37" s="10" t="e">
        <f aca="false">#REF!*E37</f>
        <v>#REF!</v>
      </c>
      <c r="Z37" s="10" t="e">
        <f aca="false">#REF!*D37</f>
        <v>#REF!</v>
      </c>
      <c r="AA37" s="10" t="e">
        <f aca="false">#REF!*E37*10*3</f>
        <v>#REF!</v>
      </c>
      <c r="AB37" s="10" t="e">
        <f aca="false">#REF!*E37*10</f>
        <v>#REF!</v>
      </c>
      <c r="AC37" s="10" t="e">
        <f aca="false">#REF!*D37*5</f>
        <v>#REF!</v>
      </c>
      <c r="AD37" s="10" t="e">
        <f aca="false">#REF!*D37*5</f>
        <v>#REF!</v>
      </c>
      <c r="AE37" s="10" t="e">
        <f aca="false">SUM(M37:AD37)</f>
        <v>#REF!</v>
      </c>
      <c r="AF37" s="14" t="n">
        <v>45196</v>
      </c>
      <c r="AG37" s="14" t="n">
        <v>45191</v>
      </c>
      <c r="AH37" s="15"/>
      <c r="AI37" s="15" t="s">
        <v>45</v>
      </c>
      <c r="AJ37" s="15" t="s">
        <v>45</v>
      </c>
      <c r="AK37" s="16" t="s">
        <v>199</v>
      </c>
      <c r="AL37" s="7" t="n">
        <v>3</v>
      </c>
      <c r="AM37" s="15"/>
      <c r="AN37" s="15"/>
      <c r="AO37" s="15" t="s">
        <v>48</v>
      </c>
      <c r="AP37" s="15"/>
      <c r="AQ37" s="15"/>
    </row>
    <row r="38" customFormat="false" ht="15.75" hidden="false" customHeight="false" outlineLevel="0" collapsed="false">
      <c r="A38" s="7" t="n">
        <v>37</v>
      </c>
      <c r="B38" s="8" t="s">
        <v>200</v>
      </c>
      <c r="C38" s="9" t="s">
        <v>201</v>
      </c>
      <c r="D38" s="15" t="n">
        <v>5</v>
      </c>
      <c r="E38" s="15"/>
      <c r="F38" s="22"/>
      <c r="G38" s="22"/>
      <c r="H38" s="15" t="n">
        <v>130</v>
      </c>
      <c r="I38" s="11" t="n">
        <v>1</v>
      </c>
      <c r="J38" s="10" t="e">
        <f aca="false">+I38*#REF!</f>
        <v>#REF!</v>
      </c>
      <c r="K38" s="23" t="s">
        <v>202</v>
      </c>
      <c r="L38" s="13" t="n">
        <v>4</v>
      </c>
      <c r="M38" s="10" t="e">
        <f aca="false">#REF!*L38</f>
        <v>#REF!</v>
      </c>
      <c r="N38" s="10" t="e">
        <f aca="false">#REF!*L38</f>
        <v>#REF!</v>
      </c>
      <c r="O38" s="10" t="e">
        <f aca="false">#REF!*H38</f>
        <v>#REF!</v>
      </c>
      <c r="P38" s="10" t="e">
        <f aca="false">#REF!*H38</f>
        <v>#REF!</v>
      </c>
      <c r="Q38" s="10" t="e">
        <f aca="false">#REF!</f>
        <v>#REF!</v>
      </c>
      <c r="R38" s="10" t="n">
        <v>75.9</v>
      </c>
      <c r="S38" s="22"/>
      <c r="T38" s="22"/>
      <c r="U38" s="22"/>
      <c r="V38" s="22"/>
      <c r="W38" s="22"/>
      <c r="X38" s="22"/>
      <c r="Y38" s="10" t="e">
        <f aca="false">#REF!*E38</f>
        <v>#REF!</v>
      </c>
      <c r="Z38" s="10" t="e">
        <f aca="false">#REF!*D38</f>
        <v>#REF!</v>
      </c>
      <c r="AA38" s="10" t="e">
        <f aca="false">#REF!*E38*10*3</f>
        <v>#REF!</v>
      </c>
      <c r="AB38" s="10" t="e">
        <f aca="false">#REF!*E38*10</f>
        <v>#REF!</v>
      </c>
      <c r="AC38" s="10" t="e">
        <f aca="false">#REF!*D38*5</f>
        <v>#REF!</v>
      </c>
      <c r="AD38" s="10" t="e">
        <f aca="false">#REF!*D38*5</f>
        <v>#REF!</v>
      </c>
      <c r="AE38" s="10" t="e">
        <f aca="false">SUM(M38:AD38)</f>
        <v>#REF!</v>
      </c>
      <c r="AF38" s="14" t="n">
        <v>45198</v>
      </c>
      <c r="AG38" s="15"/>
      <c r="AH38" s="15"/>
      <c r="AI38" s="15"/>
      <c r="AJ38" s="15"/>
      <c r="AK38" s="16" t="s">
        <v>203</v>
      </c>
      <c r="AL38" s="7" t="n">
        <v>4</v>
      </c>
      <c r="AM38" s="15"/>
      <c r="AN38" s="15"/>
      <c r="AO38" s="15" t="s">
        <v>66</v>
      </c>
      <c r="AP38" s="15"/>
      <c r="AQ38" s="15"/>
    </row>
    <row r="39" customFormat="false" ht="15.75" hidden="false" customHeight="false" outlineLevel="0" collapsed="false">
      <c r="A39" s="7" t="n">
        <v>38</v>
      </c>
      <c r="B39" s="8" t="s">
        <v>204</v>
      </c>
      <c r="C39" s="9" t="s">
        <v>205</v>
      </c>
      <c r="D39" s="15"/>
      <c r="E39" s="15"/>
      <c r="F39" s="22"/>
      <c r="G39" s="22"/>
      <c r="H39" s="15" t="n">
        <v>180</v>
      </c>
      <c r="I39" s="11" t="n">
        <v>1</v>
      </c>
      <c r="J39" s="10" t="e">
        <f aca="false">+I39*#REF!</f>
        <v>#REF!</v>
      </c>
      <c r="K39" s="23" t="s">
        <v>206</v>
      </c>
      <c r="L39" s="13" t="n">
        <v>4</v>
      </c>
      <c r="M39" s="10" t="e">
        <f aca="false">#REF!*L39</f>
        <v>#REF!</v>
      </c>
      <c r="N39" s="10" t="e">
        <f aca="false">#REF!*L39</f>
        <v>#REF!</v>
      </c>
      <c r="O39" s="10" t="e">
        <f aca="false">#REF!*H39</f>
        <v>#REF!</v>
      </c>
      <c r="P39" s="10" t="e">
        <f aca="false">#REF!*H39</f>
        <v>#REF!</v>
      </c>
      <c r="Q39" s="10" t="e">
        <f aca="false">#REF!</f>
        <v>#REF!</v>
      </c>
      <c r="R39" s="10" t="n">
        <v>75.9</v>
      </c>
      <c r="S39" s="22"/>
      <c r="T39" s="22"/>
      <c r="U39" s="22"/>
      <c r="V39" s="22"/>
      <c r="W39" s="22"/>
      <c r="X39" s="22"/>
      <c r="Y39" s="10" t="e">
        <f aca="false">#REF!*E39</f>
        <v>#REF!</v>
      </c>
      <c r="Z39" s="10" t="e">
        <f aca="false">#REF!*D39</f>
        <v>#REF!</v>
      </c>
      <c r="AA39" s="10" t="e">
        <f aca="false">#REF!*E39*10*3</f>
        <v>#REF!</v>
      </c>
      <c r="AB39" s="10" t="e">
        <f aca="false">#REF!*E39*10</f>
        <v>#REF!</v>
      </c>
      <c r="AC39" s="10" t="e">
        <f aca="false">#REF!*D39*5</f>
        <v>#REF!</v>
      </c>
      <c r="AD39" s="10" t="e">
        <f aca="false">#REF!*D39*5</f>
        <v>#REF!</v>
      </c>
      <c r="AE39" s="10" t="e">
        <f aca="false">SUM(M39:AD39)</f>
        <v>#REF!</v>
      </c>
      <c r="AF39" s="14" t="n">
        <v>45202</v>
      </c>
      <c r="AG39" s="15"/>
      <c r="AH39" s="15"/>
      <c r="AI39" s="15"/>
      <c r="AJ39" s="15"/>
      <c r="AK39" s="16" t="s">
        <v>207</v>
      </c>
      <c r="AL39" s="7" t="n">
        <v>4</v>
      </c>
      <c r="AM39" s="15"/>
      <c r="AN39" s="15"/>
      <c r="AO39" s="15" t="s">
        <v>66</v>
      </c>
      <c r="AP39" s="15"/>
      <c r="AQ39" s="15"/>
    </row>
    <row r="40" customFormat="false" ht="15.75" hidden="false" customHeight="false" outlineLevel="0" collapsed="false">
      <c r="A40" s="7" t="n">
        <v>39</v>
      </c>
      <c r="B40" s="8" t="s">
        <v>208</v>
      </c>
      <c r="C40" s="9" t="s">
        <v>209</v>
      </c>
      <c r="D40" s="15"/>
      <c r="E40" s="15"/>
      <c r="F40" s="22"/>
      <c r="G40" s="22"/>
      <c r="H40" s="15" t="n">
        <v>225</v>
      </c>
      <c r="I40" s="11" t="n">
        <v>1</v>
      </c>
      <c r="J40" s="10" t="e">
        <f aca="false">+I40*#REF!</f>
        <v>#REF!</v>
      </c>
      <c r="K40" s="23" t="s">
        <v>210</v>
      </c>
      <c r="L40" s="13" t="n">
        <v>4</v>
      </c>
      <c r="M40" s="10" t="e">
        <f aca="false">#REF!*L40</f>
        <v>#REF!</v>
      </c>
      <c r="N40" s="10" t="e">
        <f aca="false">#REF!*L40</f>
        <v>#REF!</v>
      </c>
      <c r="O40" s="10" t="e">
        <f aca="false">#REF!*H40</f>
        <v>#REF!</v>
      </c>
      <c r="P40" s="10" t="e">
        <f aca="false">#REF!*H40</f>
        <v>#REF!</v>
      </c>
      <c r="Q40" s="10" t="e">
        <f aca="false">#REF!</f>
        <v>#REF!</v>
      </c>
      <c r="R40" s="10" t="n">
        <v>75.9</v>
      </c>
      <c r="S40" s="22"/>
      <c r="T40" s="22"/>
      <c r="U40" s="22"/>
      <c r="V40" s="22"/>
      <c r="W40" s="22"/>
      <c r="X40" s="22"/>
      <c r="Y40" s="10" t="e">
        <f aca="false">#REF!*E40</f>
        <v>#REF!</v>
      </c>
      <c r="Z40" s="10" t="e">
        <f aca="false">#REF!*D40</f>
        <v>#REF!</v>
      </c>
      <c r="AA40" s="10" t="e">
        <f aca="false">#REF!*E40*10*3</f>
        <v>#REF!</v>
      </c>
      <c r="AB40" s="10" t="e">
        <f aca="false">#REF!*E40*10</f>
        <v>#REF!</v>
      </c>
      <c r="AC40" s="10" t="e">
        <f aca="false">#REF!*D40*5</f>
        <v>#REF!</v>
      </c>
      <c r="AD40" s="10" t="e">
        <f aca="false">#REF!*D40*5</f>
        <v>#REF!</v>
      </c>
      <c r="AE40" s="10" t="e">
        <f aca="false">SUM(M40:AD40)</f>
        <v>#REF!</v>
      </c>
      <c r="AF40" s="14" t="n">
        <v>45198</v>
      </c>
      <c r="AG40" s="15"/>
      <c r="AH40" s="15"/>
      <c r="AI40" s="15"/>
      <c r="AJ40" s="15"/>
      <c r="AK40" s="16" t="s">
        <v>211</v>
      </c>
      <c r="AL40" s="7"/>
      <c r="AM40" s="15" t="s">
        <v>212</v>
      </c>
      <c r="AN40" s="15"/>
      <c r="AO40" s="15" t="s">
        <v>66</v>
      </c>
      <c r="AP40" s="15"/>
      <c r="AQ40" s="15"/>
    </row>
    <row r="41" customFormat="false" ht="15.75" hidden="false" customHeight="false" outlineLevel="0" collapsed="false">
      <c r="A41" s="7" t="n">
        <v>40</v>
      </c>
      <c r="B41" s="8" t="s">
        <v>213</v>
      </c>
      <c r="C41" s="9" t="s">
        <v>214</v>
      </c>
      <c r="D41" s="15"/>
      <c r="E41" s="15"/>
      <c r="F41" s="22"/>
      <c r="G41" s="22"/>
      <c r="H41" s="15" t="n">
        <v>350</v>
      </c>
      <c r="I41" s="11" t="n">
        <v>1</v>
      </c>
      <c r="J41" s="10" t="e">
        <f aca="false">+I41*#REF!</f>
        <v>#REF!</v>
      </c>
      <c r="K41" s="23" t="s">
        <v>215</v>
      </c>
      <c r="L41" s="13" t="n">
        <v>4</v>
      </c>
      <c r="M41" s="10" t="e">
        <f aca="false">#REF!*L41</f>
        <v>#REF!</v>
      </c>
      <c r="N41" s="10" t="e">
        <f aca="false">#REF!*L41</f>
        <v>#REF!</v>
      </c>
      <c r="O41" s="10" t="e">
        <f aca="false">#REF!*H41</f>
        <v>#REF!</v>
      </c>
      <c r="P41" s="10" t="e">
        <f aca="false">#REF!*H41</f>
        <v>#REF!</v>
      </c>
      <c r="Q41" s="10" t="e">
        <f aca="false">#REF!</f>
        <v>#REF!</v>
      </c>
      <c r="R41" s="10" t="n">
        <v>75.9</v>
      </c>
      <c r="S41" s="22"/>
      <c r="T41" s="22"/>
      <c r="U41" s="22"/>
      <c r="V41" s="22"/>
      <c r="W41" s="22"/>
      <c r="X41" s="22"/>
      <c r="Y41" s="10" t="e">
        <f aca="false">#REF!*E41</f>
        <v>#REF!</v>
      </c>
      <c r="Z41" s="10" t="e">
        <f aca="false">#REF!*D41</f>
        <v>#REF!</v>
      </c>
      <c r="AA41" s="10" t="e">
        <f aca="false">#REF!*E41*10*3</f>
        <v>#REF!</v>
      </c>
      <c r="AB41" s="10" t="e">
        <f aca="false">#REF!*E41*10</f>
        <v>#REF!</v>
      </c>
      <c r="AC41" s="10" t="e">
        <f aca="false">#REF!*D41*5</f>
        <v>#REF!</v>
      </c>
      <c r="AD41" s="10" t="e">
        <f aca="false">#REF!*D41*5</f>
        <v>#REF!</v>
      </c>
      <c r="AE41" s="10" t="e">
        <f aca="false">SUM(M41:AD41)</f>
        <v>#REF!</v>
      </c>
      <c r="AF41" s="14" t="n">
        <v>45198</v>
      </c>
      <c r="AG41" s="15"/>
      <c r="AH41" s="15"/>
      <c r="AI41" s="15"/>
      <c r="AJ41" s="15"/>
      <c r="AK41" s="16" t="s">
        <v>216</v>
      </c>
      <c r="AL41" s="7" t="n">
        <v>4</v>
      </c>
      <c r="AM41" s="15"/>
      <c r="AN41" s="15"/>
      <c r="AO41" s="15" t="s">
        <v>66</v>
      </c>
      <c r="AP41" s="15"/>
      <c r="AQ41" s="15"/>
    </row>
    <row r="42" customFormat="false" ht="15.75" hidden="false" customHeight="false" outlineLevel="0" collapsed="false">
      <c r="A42" s="7" t="n">
        <v>41</v>
      </c>
      <c r="B42" s="8" t="s">
        <v>217</v>
      </c>
      <c r="C42" s="9" t="s">
        <v>218</v>
      </c>
      <c r="D42" s="15"/>
      <c r="E42" s="15"/>
      <c r="F42" s="22"/>
      <c r="G42" s="22"/>
      <c r="H42" s="15" t="n">
        <v>230</v>
      </c>
      <c r="I42" s="11" t="n">
        <v>1</v>
      </c>
      <c r="J42" s="10" t="e">
        <f aca="false">+I42*#REF!</f>
        <v>#REF!</v>
      </c>
      <c r="K42" s="23" t="s">
        <v>219</v>
      </c>
      <c r="L42" s="13" t="n">
        <v>4</v>
      </c>
      <c r="M42" s="10" t="e">
        <f aca="false">#REF!*L42</f>
        <v>#REF!</v>
      </c>
      <c r="N42" s="10" t="e">
        <f aca="false">#REF!*L42</f>
        <v>#REF!</v>
      </c>
      <c r="O42" s="10" t="e">
        <f aca="false">#REF!*H42</f>
        <v>#REF!</v>
      </c>
      <c r="P42" s="10" t="e">
        <f aca="false">#REF!*H42</f>
        <v>#REF!</v>
      </c>
      <c r="Q42" s="10" t="e">
        <f aca="false">#REF!</f>
        <v>#REF!</v>
      </c>
      <c r="R42" s="10" t="n">
        <v>75.9</v>
      </c>
      <c r="S42" s="22"/>
      <c r="T42" s="22"/>
      <c r="U42" s="22"/>
      <c r="V42" s="22"/>
      <c r="W42" s="22"/>
      <c r="X42" s="22"/>
      <c r="Y42" s="10" t="e">
        <f aca="false">#REF!*E42</f>
        <v>#REF!</v>
      </c>
      <c r="Z42" s="10" t="e">
        <f aca="false">#REF!*D42</f>
        <v>#REF!</v>
      </c>
      <c r="AA42" s="10" t="e">
        <f aca="false">#REF!*E42*10*3</f>
        <v>#REF!</v>
      </c>
      <c r="AB42" s="10" t="e">
        <f aca="false">#REF!*E42*10</f>
        <v>#REF!</v>
      </c>
      <c r="AC42" s="10" t="e">
        <f aca="false">#REF!*D42*5</f>
        <v>#REF!</v>
      </c>
      <c r="AD42" s="10" t="e">
        <f aca="false">#REF!*D42*5</f>
        <v>#REF!</v>
      </c>
      <c r="AE42" s="10" t="e">
        <f aca="false">SUM(M42:AD42)</f>
        <v>#REF!</v>
      </c>
      <c r="AF42" s="14" t="n">
        <v>45202</v>
      </c>
      <c r="AG42" s="14" t="n">
        <v>45201</v>
      </c>
      <c r="AH42" s="15"/>
      <c r="AI42" s="15"/>
      <c r="AJ42" s="15"/>
      <c r="AK42" s="16" t="s">
        <v>220</v>
      </c>
      <c r="AL42" s="7" t="s">
        <v>221</v>
      </c>
      <c r="AM42" s="15" t="n">
        <v>2</v>
      </c>
      <c r="AN42" s="15"/>
      <c r="AO42" s="15" t="s">
        <v>66</v>
      </c>
      <c r="AP42" s="15"/>
      <c r="AQ42" s="15"/>
    </row>
    <row r="43" customFormat="false" ht="15.75" hidden="false" customHeight="false" outlineLevel="0" collapsed="false">
      <c r="A43" s="7" t="n">
        <v>42</v>
      </c>
      <c r="B43" s="8" t="s">
        <v>222</v>
      </c>
      <c r="C43" s="9" t="s">
        <v>223</v>
      </c>
      <c r="D43" s="15"/>
      <c r="E43" s="15"/>
      <c r="F43" s="22"/>
      <c r="G43" s="22"/>
      <c r="H43" s="15" t="n">
        <v>250</v>
      </c>
      <c r="I43" s="11" t="n">
        <v>1</v>
      </c>
      <c r="J43" s="10" t="e">
        <f aca="false">+I43*#REF!</f>
        <v>#REF!</v>
      </c>
      <c r="K43" s="23" t="s">
        <v>224</v>
      </c>
      <c r="L43" s="13" t="n">
        <v>4</v>
      </c>
      <c r="M43" s="10" t="e">
        <f aca="false">#REF!*L43</f>
        <v>#REF!</v>
      </c>
      <c r="N43" s="10" t="e">
        <f aca="false">#REF!*L43</f>
        <v>#REF!</v>
      </c>
      <c r="O43" s="10" t="e">
        <f aca="false">#REF!*H43</f>
        <v>#REF!</v>
      </c>
      <c r="P43" s="10" t="e">
        <f aca="false">#REF!*H43</f>
        <v>#REF!</v>
      </c>
      <c r="Q43" s="10" t="e">
        <f aca="false">#REF!</f>
        <v>#REF!</v>
      </c>
      <c r="R43" s="10" t="n">
        <v>75.9</v>
      </c>
      <c r="S43" s="22"/>
      <c r="T43" s="22"/>
      <c r="U43" s="22"/>
      <c r="V43" s="22"/>
      <c r="W43" s="22"/>
      <c r="X43" s="22"/>
      <c r="Y43" s="10" t="e">
        <f aca="false">#REF!*E43</f>
        <v>#REF!</v>
      </c>
      <c r="Z43" s="10" t="e">
        <f aca="false">#REF!*D43</f>
        <v>#REF!</v>
      </c>
      <c r="AA43" s="10" t="e">
        <f aca="false">#REF!*E43*10*3</f>
        <v>#REF!</v>
      </c>
      <c r="AB43" s="10" t="e">
        <f aca="false">#REF!*E43*10</f>
        <v>#REF!</v>
      </c>
      <c r="AC43" s="10" t="e">
        <f aca="false">#REF!*D43*5</f>
        <v>#REF!</v>
      </c>
      <c r="AD43" s="10" t="e">
        <f aca="false">#REF!*D43*5</f>
        <v>#REF!</v>
      </c>
      <c r="AE43" s="10" t="e">
        <f aca="false">SUM(M43:AD43)</f>
        <v>#REF!</v>
      </c>
      <c r="AF43" s="14" t="n">
        <v>45202</v>
      </c>
      <c r="AG43" s="14" t="n">
        <v>45201</v>
      </c>
      <c r="AH43" s="15"/>
      <c r="AI43" s="15"/>
      <c r="AJ43" s="15"/>
      <c r="AK43" s="16" t="s">
        <v>225</v>
      </c>
      <c r="AL43" s="7"/>
      <c r="AM43" s="15" t="n">
        <v>4</v>
      </c>
      <c r="AN43" s="15"/>
      <c r="AO43" s="15" t="s">
        <v>66</v>
      </c>
      <c r="AP43" s="15"/>
      <c r="AQ43" s="15"/>
    </row>
    <row r="44" customFormat="false" ht="15.75" hidden="false" customHeight="false" outlineLevel="0" collapsed="false">
      <c r="A44" s="7" t="n">
        <v>43</v>
      </c>
      <c r="B44" s="8" t="s">
        <v>226</v>
      </c>
      <c r="C44" s="17" t="s">
        <v>227</v>
      </c>
      <c r="D44" s="15"/>
      <c r="E44" s="15"/>
      <c r="F44" s="22"/>
      <c r="G44" s="22"/>
      <c r="H44" s="15" t="n">
        <v>210</v>
      </c>
      <c r="I44" s="11" t="n">
        <v>1</v>
      </c>
      <c r="J44" s="10" t="e">
        <f aca="false">+I44*#REF!</f>
        <v>#REF!</v>
      </c>
      <c r="K44" s="23" t="s">
        <v>228</v>
      </c>
      <c r="L44" s="13" t="n">
        <v>3</v>
      </c>
      <c r="M44" s="10" t="e">
        <f aca="false">#REF!*L44</f>
        <v>#REF!</v>
      </c>
      <c r="N44" s="10" t="e">
        <f aca="false">#REF!*L44</f>
        <v>#REF!</v>
      </c>
      <c r="O44" s="10" t="e">
        <f aca="false">#REF!*H44</f>
        <v>#REF!</v>
      </c>
      <c r="P44" s="10" t="e">
        <f aca="false">#REF!*H44</f>
        <v>#REF!</v>
      </c>
      <c r="Q44" s="10" t="e">
        <f aca="false">#REF!</f>
        <v>#REF!</v>
      </c>
      <c r="R44" s="10" t="n">
        <v>75.9</v>
      </c>
      <c r="S44" s="22"/>
      <c r="T44" s="22"/>
      <c r="U44" s="22"/>
      <c r="V44" s="22"/>
      <c r="W44" s="22"/>
      <c r="X44" s="22"/>
      <c r="Y44" s="10" t="e">
        <f aca="false">#REF!*E44</f>
        <v>#REF!</v>
      </c>
      <c r="Z44" s="10" t="e">
        <f aca="false">#REF!*D44</f>
        <v>#REF!</v>
      </c>
      <c r="AA44" s="10" t="e">
        <f aca="false">#REF!*E44*10*3</f>
        <v>#REF!</v>
      </c>
      <c r="AB44" s="10" t="e">
        <f aca="false">#REF!*E44*10</f>
        <v>#REF!</v>
      </c>
      <c r="AC44" s="10" t="e">
        <f aca="false">#REF!*D44*5</f>
        <v>#REF!</v>
      </c>
      <c r="AD44" s="10" t="e">
        <f aca="false">#REF!*D44*5</f>
        <v>#REF!</v>
      </c>
      <c r="AE44" s="10" t="e">
        <f aca="false">SUM(M44:AD44)</f>
        <v>#REF!</v>
      </c>
      <c r="AF44" s="14" t="n">
        <v>45201</v>
      </c>
      <c r="AG44" s="14" t="n">
        <v>45201</v>
      </c>
      <c r="AH44" s="14" t="n">
        <v>45264</v>
      </c>
      <c r="AI44" s="15"/>
      <c r="AJ44" s="15"/>
      <c r="AK44" s="16" t="s">
        <v>229</v>
      </c>
      <c r="AL44" s="7"/>
      <c r="AM44" s="15"/>
      <c r="AN44" s="15" t="n">
        <v>3</v>
      </c>
      <c r="AO44" s="15" t="s">
        <v>66</v>
      </c>
      <c r="AP44" s="15"/>
      <c r="AQ44" s="15"/>
    </row>
    <row r="45" customFormat="false" ht="15.75" hidden="false" customHeight="false" outlineLevel="0" collapsed="false">
      <c r="A45" s="7" t="n">
        <v>44</v>
      </c>
      <c r="B45" s="8" t="s">
        <v>230</v>
      </c>
      <c r="C45" s="17" t="s">
        <v>231</v>
      </c>
      <c r="D45" s="15" t="n">
        <v>5</v>
      </c>
      <c r="E45" s="15"/>
      <c r="F45" s="22"/>
      <c r="G45" s="22"/>
      <c r="H45" s="15" t="n">
        <v>215</v>
      </c>
      <c r="I45" s="11" t="n">
        <v>1</v>
      </c>
      <c r="J45" s="10" t="e">
        <f aca="false">+I45*#REF!</f>
        <v>#REF!</v>
      </c>
      <c r="K45" s="23" t="s">
        <v>232</v>
      </c>
      <c r="L45" s="13" t="n">
        <v>3</v>
      </c>
      <c r="M45" s="10" t="e">
        <f aca="false">#REF!*L45</f>
        <v>#REF!</v>
      </c>
      <c r="N45" s="10" t="e">
        <f aca="false">#REF!*L45</f>
        <v>#REF!</v>
      </c>
      <c r="O45" s="10" t="e">
        <f aca="false">#REF!*H45</f>
        <v>#REF!</v>
      </c>
      <c r="P45" s="10" t="e">
        <f aca="false">#REF!*H45</f>
        <v>#REF!</v>
      </c>
      <c r="Q45" s="10" t="e">
        <f aca="false">#REF!</f>
        <v>#REF!</v>
      </c>
      <c r="R45" s="10" t="n">
        <v>75.9</v>
      </c>
      <c r="S45" s="22"/>
      <c r="T45" s="22"/>
      <c r="U45" s="22"/>
      <c r="V45" s="22"/>
      <c r="W45" s="22"/>
      <c r="X45" s="22"/>
      <c r="Y45" s="10" t="e">
        <f aca="false">#REF!*E45</f>
        <v>#REF!</v>
      </c>
      <c r="Z45" s="10" t="e">
        <f aca="false">#REF!*D45</f>
        <v>#REF!</v>
      </c>
      <c r="AA45" s="10" t="e">
        <f aca="false">#REF!*E45*10*3</f>
        <v>#REF!</v>
      </c>
      <c r="AB45" s="10" t="e">
        <f aca="false">#REF!*E45*10</f>
        <v>#REF!</v>
      </c>
      <c r="AC45" s="10" t="e">
        <f aca="false">#REF!*D45*5</f>
        <v>#REF!</v>
      </c>
      <c r="AD45" s="10" t="e">
        <f aca="false">#REF!*D45*5</f>
        <v>#REF!</v>
      </c>
      <c r="AE45" s="10" t="e">
        <f aca="false">SUM(M45:AD45)</f>
        <v>#REF!</v>
      </c>
      <c r="AF45" s="14" t="n">
        <v>45202</v>
      </c>
      <c r="AG45" s="14" t="n">
        <v>45201</v>
      </c>
      <c r="AH45" s="14" t="n">
        <v>45295</v>
      </c>
      <c r="AI45" s="15"/>
      <c r="AJ45" s="15"/>
      <c r="AK45" s="16" t="s">
        <v>233</v>
      </c>
      <c r="AL45" s="7"/>
      <c r="AM45" s="15"/>
      <c r="AN45" s="15" t="n">
        <v>3</v>
      </c>
      <c r="AO45" s="15" t="s">
        <v>66</v>
      </c>
      <c r="AP45" s="15"/>
      <c r="AQ45" s="15"/>
    </row>
    <row r="46" customFormat="false" ht="15.75" hidden="false" customHeight="false" outlineLevel="0" collapsed="false">
      <c r="A46" s="7" t="n">
        <v>45</v>
      </c>
      <c r="B46" s="8" t="s">
        <v>234</v>
      </c>
      <c r="C46" s="17" t="s">
        <v>235</v>
      </c>
      <c r="D46" s="15"/>
      <c r="E46" s="15"/>
      <c r="F46" s="22"/>
      <c r="G46" s="22"/>
      <c r="H46" s="15" t="n">
        <v>220</v>
      </c>
      <c r="I46" s="11" t="n">
        <v>2</v>
      </c>
      <c r="J46" s="10" t="e">
        <f aca="false">+I46*#REF!</f>
        <v>#REF!</v>
      </c>
      <c r="K46" s="23" t="s">
        <v>236</v>
      </c>
      <c r="L46" s="13" t="n">
        <v>6</v>
      </c>
      <c r="M46" s="10" t="e">
        <f aca="false">#REF!*L46</f>
        <v>#REF!</v>
      </c>
      <c r="N46" s="10" t="e">
        <f aca="false">#REF!*L46</f>
        <v>#REF!</v>
      </c>
      <c r="O46" s="10" t="e">
        <f aca="false">#REF!*H46</f>
        <v>#REF!</v>
      </c>
      <c r="P46" s="10" t="e">
        <f aca="false">#REF!*H46</f>
        <v>#REF!</v>
      </c>
      <c r="Q46" s="10" t="e">
        <f aca="false">#REF!</f>
        <v>#REF!</v>
      </c>
      <c r="R46" s="10" t="n">
        <v>75.9</v>
      </c>
      <c r="S46" s="22"/>
      <c r="T46" s="22"/>
      <c r="U46" s="22"/>
      <c r="V46" s="22"/>
      <c r="W46" s="22"/>
      <c r="X46" s="22"/>
      <c r="Y46" s="10" t="e">
        <f aca="false">#REF!*E46</f>
        <v>#REF!</v>
      </c>
      <c r="Z46" s="10" t="e">
        <f aca="false">#REF!*D46</f>
        <v>#REF!</v>
      </c>
      <c r="AA46" s="10" t="e">
        <f aca="false">#REF!*E46*10*3</f>
        <v>#REF!</v>
      </c>
      <c r="AB46" s="10" t="e">
        <f aca="false">#REF!*E46*10</f>
        <v>#REF!</v>
      </c>
      <c r="AC46" s="10" t="e">
        <f aca="false">#REF!*D46*5</f>
        <v>#REF!</v>
      </c>
      <c r="AD46" s="10" t="e">
        <f aca="false">#REF!*D46*5</f>
        <v>#REF!</v>
      </c>
      <c r="AE46" s="10" t="e">
        <f aca="false">SUM(M46:AD46)</f>
        <v>#REF!</v>
      </c>
      <c r="AF46" s="14" t="n">
        <v>45201</v>
      </c>
      <c r="AG46" s="14" t="n">
        <v>45201</v>
      </c>
      <c r="AH46" s="14" t="n">
        <v>45266</v>
      </c>
      <c r="AI46" s="15"/>
      <c r="AJ46" s="15"/>
      <c r="AK46" s="16" t="s">
        <v>237</v>
      </c>
      <c r="AL46" s="7"/>
      <c r="AM46" s="15"/>
      <c r="AN46" s="15" t="n">
        <v>6</v>
      </c>
      <c r="AO46" s="15" t="s">
        <v>66</v>
      </c>
      <c r="AP46" s="15"/>
      <c r="AQ46" s="15"/>
    </row>
    <row r="47" customFormat="false" ht="15.75" hidden="false" customHeight="false" outlineLevel="0" collapsed="false">
      <c r="A47" s="7" t="n">
        <v>46</v>
      </c>
      <c r="B47" s="8" t="s">
        <v>238</v>
      </c>
      <c r="C47" s="17" t="s">
        <v>239</v>
      </c>
      <c r="D47" s="15"/>
      <c r="E47" s="15"/>
      <c r="F47" s="22"/>
      <c r="G47" s="22"/>
      <c r="H47" s="15" t="n">
        <v>150</v>
      </c>
      <c r="I47" s="11" t="n">
        <v>1</v>
      </c>
      <c r="J47" s="10" t="e">
        <f aca="false">+I47*#REF!</f>
        <v>#REF!</v>
      </c>
      <c r="K47" s="7"/>
      <c r="L47" s="13" t="n">
        <v>3</v>
      </c>
      <c r="M47" s="10" t="e">
        <f aca="false">#REF!*L47</f>
        <v>#REF!</v>
      </c>
      <c r="N47" s="10" t="e">
        <f aca="false">#REF!*L47</f>
        <v>#REF!</v>
      </c>
      <c r="O47" s="10" t="e">
        <f aca="false">#REF!*H47</f>
        <v>#REF!</v>
      </c>
      <c r="P47" s="10" t="e">
        <f aca="false">#REF!*H47</f>
        <v>#REF!</v>
      </c>
      <c r="Q47" s="10" t="e">
        <f aca="false">#REF!</f>
        <v>#REF!</v>
      </c>
      <c r="R47" s="10" t="n">
        <v>75.9</v>
      </c>
      <c r="S47" s="22"/>
      <c r="T47" s="22"/>
      <c r="U47" s="22"/>
      <c r="V47" s="22"/>
      <c r="W47" s="22"/>
      <c r="X47" s="22"/>
      <c r="Y47" s="10" t="e">
        <f aca="false">#REF!*E47</f>
        <v>#REF!</v>
      </c>
      <c r="Z47" s="10" t="e">
        <f aca="false">#REF!*D47</f>
        <v>#REF!</v>
      </c>
      <c r="AA47" s="10" t="e">
        <f aca="false">#REF!*E47*10*3</f>
        <v>#REF!</v>
      </c>
      <c r="AB47" s="10" t="e">
        <f aca="false">#REF!*E47*10</f>
        <v>#REF!</v>
      </c>
      <c r="AC47" s="10" t="e">
        <f aca="false">#REF!*D47*5</f>
        <v>#REF!</v>
      </c>
      <c r="AD47" s="10" t="e">
        <f aca="false">#REF!*D47*5</f>
        <v>#REF!</v>
      </c>
      <c r="AE47" s="10" t="e">
        <f aca="false">SUM(M47:AD47)</f>
        <v>#REF!</v>
      </c>
      <c r="AF47" s="14" t="n">
        <v>45201</v>
      </c>
      <c r="AG47" s="14" t="n">
        <v>45201</v>
      </c>
      <c r="AH47" s="14" t="n">
        <v>45266</v>
      </c>
      <c r="AI47" s="15"/>
      <c r="AJ47" s="15"/>
      <c r="AK47" s="7" t="s">
        <v>240</v>
      </c>
      <c r="AL47" s="7"/>
      <c r="AM47" s="15"/>
      <c r="AN47" s="15" t="n">
        <v>3</v>
      </c>
      <c r="AO47" s="15" t="s">
        <v>66</v>
      </c>
      <c r="AP47" s="15"/>
      <c r="AQ47" s="15"/>
    </row>
    <row r="48" customFormat="false" ht="15.75" hidden="false" customHeight="false" outlineLevel="0" collapsed="false">
      <c r="A48" s="7" t="n">
        <v>47</v>
      </c>
      <c r="B48" s="8" t="s">
        <v>241</v>
      </c>
      <c r="C48" s="17" t="s">
        <v>242</v>
      </c>
      <c r="D48" s="15"/>
      <c r="E48" s="15"/>
      <c r="F48" s="22"/>
      <c r="G48" s="22"/>
      <c r="H48" s="15" t="n">
        <v>150</v>
      </c>
      <c r="I48" s="11" t="n">
        <v>1</v>
      </c>
      <c r="J48" s="10" t="e">
        <f aca="false">+I48*#REF!</f>
        <v>#REF!</v>
      </c>
      <c r="K48" s="23" t="s">
        <v>243</v>
      </c>
      <c r="L48" s="13" t="n">
        <v>3</v>
      </c>
      <c r="M48" s="10" t="e">
        <f aca="false">#REF!*L48</f>
        <v>#REF!</v>
      </c>
      <c r="N48" s="10" t="e">
        <f aca="false">#REF!*L48</f>
        <v>#REF!</v>
      </c>
      <c r="O48" s="10" t="e">
        <f aca="false">#REF!*H48</f>
        <v>#REF!</v>
      </c>
      <c r="P48" s="10" t="e">
        <f aca="false">#REF!*H48</f>
        <v>#REF!</v>
      </c>
      <c r="Q48" s="10" t="e">
        <f aca="false">#REF!</f>
        <v>#REF!</v>
      </c>
      <c r="R48" s="10" t="n">
        <v>75.9</v>
      </c>
      <c r="S48" s="22"/>
      <c r="T48" s="22"/>
      <c r="U48" s="22"/>
      <c r="V48" s="22"/>
      <c r="W48" s="22"/>
      <c r="X48" s="22"/>
      <c r="Y48" s="10" t="e">
        <f aca="false">#REF!*E48</f>
        <v>#REF!</v>
      </c>
      <c r="Z48" s="10" t="e">
        <f aca="false">#REF!*D48</f>
        <v>#REF!</v>
      </c>
      <c r="AA48" s="10" t="e">
        <f aca="false">#REF!*E48*10*3</f>
        <v>#REF!</v>
      </c>
      <c r="AB48" s="10" t="e">
        <f aca="false">#REF!*E48*10</f>
        <v>#REF!</v>
      </c>
      <c r="AC48" s="10" t="e">
        <f aca="false">#REF!*D48*5</f>
        <v>#REF!</v>
      </c>
      <c r="AD48" s="10" t="e">
        <f aca="false">#REF!*D48*5</f>
        <v>#REF!</v>
      </c>
      <c r="AE48" s="10" t="e">
        <f aca="false">SUM(M48:AD48)</f>
        <v>#REF!</v>
      </c>
      <c r="AF48" s="14" t="n">
        <v>45201</v>
      </c>
      <c r="AG48" s="14" t="n">
        <v>45201</v>
      </c>
      <c r="AH48" s="14" t="n">
        <v>45261</v>
      </c>
      <c r="AI48" s="15"/>
      <c r="AJ48" s="15"/>
      <c r="AK48" s="16"/>
      <c r="AL48" s="7"/>
      <c r="AM48" s="15"/>
      <c r="AN48" s="15" t="n">
        <v>3</v>
      </c>
      <c r="AO48" s="15" t="s">
        <v>66</v>
      </c>
      <c r="AP48" s="15"/>
      <c r="AQ48" s="15"/>
    </row>
    <row r="49" customFormat="false" ht="15.75" hidden="false" customHeight="false" outlineLevel="0" collapsed="false">
      <c r="A49" s="7" t="n">
        <v>48</v>
      </c>
      <c r="B49" s="8" t="n">
        <v>3097</v>
      </c>
      <c r="C49" s="17" t="s">
        <v>244</v>
      </c>
      <c r="D49" s="15"/>
      <c r="E49" s="15"/>
      <c r="F49" s="22"/>
      <c r="G49" s="22"/>
      <c r="H49" s="15" t="n">
        <v>150</v>
      </c>
      <c r="I49" s="11" t="n">
        <v>1</v>
      </c>
      <c r="J49" s="10" t="e">
        <f aca="false">+I49*#REF!</f>
        <v>#REF!</v>
      </c>
      <c r="K49" s="7"/>
      <c r="L49" s="13" t="n">
        <v>2</v>
      </c>
      <c r="M49" s="10" t="e">
        <f aca="false">#REF!*L49</f>
        <v>#REF!</v>
      </c>
      <c r="N49" s="10" t="e">
        <f aca="false">#REF!*L49</f>
        <v>#REF!</v>
      </c>
      <c r="O49" s="10" t="e">
        <f aca="false">#REF!*H49</f>
        <v>#REF!</v>
      </c>
      <c r="P49" s="10" t="e">
        <f aca="false">#REF!*H49</f>
        <v>#REF!</v>
      </c>
      <c r="Q49" s="10" t="e">
        <f aca="false">#REF!</f>
        <v>#REF!</v>
      </c>
      <c r="R49" s="10" t="n">
        <v>75.9</v>
      </c>
      <c r="S49" s="22"/>
      <c r="T49" s="22"/>
      <c r="U49" s="22"/>
      <c r="V49" s="22"/>
      <c r="W49" s="22"/>
      <c r="X49" s="22"/>
      <c r="Y49" s="10" t="e">
        <f aca="false">#REF!*E49</f>
        <v>#REF!</v>
      </c>
      <c r="Z49" s="10" t="e">
        <f aca="false">#REF!*D49</f>
        <v>#REF!</v>
      </c>
      <c r="AA49" s="10" t="e">
        <f aca="false">#REF!*E49*10*3</f>
        <v>#REF!</v>
      </c>
      <c r="AB49" s="10" t="e">
        <f aca="false">#REF!*E49*10</f>
        <v>#REF!</v>
      </c>
      <c r="AC49" s="10" t="e">
        <f aca="false">#REF!*D49*5</f>
        <v>#REF!</v>
      </c>
      <c r="AD49" s="10" t="e">
        <f aca="false">#REF!*D49*5</f>
        <v>#REF!</v>
      </c>
      <c r="AE49" s="10" t="e">
        <f aca="false">SUM(M49:AD49)</f>
        <v>#REF!</v>
      </c>
      <c r="AF49" s="14" t="n">
        <v>45205</v>
      </c>
      <c r="AG49" s="14" t="n">
        <v>45204</v>
      </c>
      <c r="AH49" s="14" t="n">
        <v>45281</v>
      </c>
      <c r="AI49" s="15"/>
      <c r="AJ49" s="15"/>
      <c r="AK49" s="7"/>
      <c r="AL49" s="7"/>
      <c r="AM49" s="15"/>
      <c r="AN49" s="15" t="n">
        <v>2</v>
      </c>
      <c r="AO49" s="15" t="s">
        <v>66</v>
      </c>
      <c r="AP49" s="15"/>
      <c r="AQ49" s="15"/>
    </row>
    <row r="50" customFormat="false" ht="15.75" hidden="false" customHeight="false" outlineLevel="0" collapsed="false">
      <c r="A50" s="7" t="n">
        <v>49</v>
      </c>
      <c r="B50" s="8" t="n">
        <v>4123</v>
      </c>
      <c r="C50" s="17" t="s">
        <v>245</v>
      </c>
      <c r="D50" s="15"/>
      <c r="E50" s="15"/>
      <c r="F50" s="22"/>
      <c r="G50" s="22"/>
      <c r="H50" s="15" t="n">
        <v>150</v>
      </c>
      <c r="I50" s="11" t="n">
        <v>1</v>
      </c>
      <c r="J50" s="10" t="e">
        <f aca="false">+I50*#REF!</f>
        <v>#REF!</v>
      </c>
      <c r="K50" s="7"/>
      <c r="L50" s="13" t="n">
        <v>4</v>
      </c>
      <c r="M50" s="10" t="e">
        <f aca="false">#REF!*L50</f>
        <v>#REF!</v>
      </c>
      <c r="N50" s="10" t="e">
        <f aca="false">#REF!*L50</f>
        <v>#REF!</v>
      </c>
      <c r="O50" s="10" t="e">
        <f aca="false">#REF!*H50</f>
        <v>#REF!</v>
      </c>
      <c r="P50" s="10" t="e">
        <f aca="false">#REF!*H50</f>
        <v>#REF!</v>
      </c>
      <c r="Q50" s="10" t="e">
        <f aca="false">#REF!</f>
        <v>#REF!</v>
      </c>
      <c r="R50" s="10" t="n">
        <v>75.9</v>
      </c>
      <c r="S50" s="22"/>
      <c r="T50" s="22"/>
      <c r="U50" s="22"/>
      <c r="V50" s="22"/>
      <c r="W50" s="22"/>
      <c r="X50" s="22"/>
      <c r="Y50" s="10" t="e">
        <f aca="false">#REF!*E50</f>
        <v>#REF!</v>
      </c>
      <c r="Z50" s="10" t="e">
        <f aca="false">#REF!*D50</f>
        <v>#REF!</v>
      </c>
      <c r="AA50" s="10" t="e">
        <f aca="false">#REF!*E50*10*3</f>
        <v>#REF!</v>
      </c>
      <c r="AB50" s="10" t="e">
        <f aca="false">#REF!*E50*10</f>
        <v>#REF!</v>
      </c>
      <c r="AC50" s="10" t="e">
        <f aca="false">#REF!*D50*5</f>
        <v>#REF!</v>
      </c>
      <c r="AD50" s="10" t="e">
        <f aca="false">#REF!*D50*5</f>
        <v>#REF!</v>
      </c>
      <c r="AE50" s="10" t="e">
        <f aca="false">SUM(M50:AD50)</f>
        <v>#REF!</v>
      </c>
      <c r="AF50" s="14" t="n">
        <v>45205</v>
      </c>
      <c r="AG50" s="14" t="n">
        <v>45204</v>
      </c>
      <c r="AH50" s="14" t="n">
        <v>45267</v>
      </c>
      <c r="AI50" s="15"/>
      <c r="AJ50" s="15"/>
      <c r="AK50" s="7"/>
      <c r="AL50" s="7"/>
      <c r="AM50" s="15"/>
      <c r="AN50" s="15" t="n">
        <v>4</v>
      </c>
      <c r="AO50" s="15" t="s">
        <v>66</v>
      </c>
      <c r="AP50" s="15"/>
      <c r="AQ50" s="15"/>
    </row>
    <row r="51" customFormat="false" ht="15.75" hidden="false" customHeight="false" outlineLevel="0" collapsed="false">
      <c r="A51" s="7" t="n">
        <v>50</v>
      </c>
      <c r="B51" s="8" t="n">
        <v>4006</v>
      </c>
      <c r="C51" s="17" t="s">
        <v>246</v>
      </c>
      <c r="D51" s="15"/>
      <c r="E51" s="15"/>
      <c r="F51" s="22"/>
      <c r="G51" s="22"/>
      <c r="H51" s="15" t="n">
        <v>150</v>
      </c>
      <c r="I51" s="11" t="n">
        <v>1</v>
      </c>
      <c r="J51" s="10" t="e">
        <f aca="false">+I51*#REF!</f>
        <v>#REF!</v>
      </c>
      <c r="K51" s="7"/>
      <c r="L51" s="13" t="n">
        <v>4</v>
      </c>
      <c r="M51" s="10" t="e">
        <f aca="false">#REF!*L51</f>
        <v>#REF!</v>
      </c>
      <c r="N51" s="10" t="e">
        <f aca="false">#REF!*L51</f>
        <v>#REF!</v>
      </c>
      <c r="O51" s="10" t="e">
        <f aca="false">#REF!*H51</f>
        <v>#REF!</v>
      </c>
      <c r="P51" s="10" t="e">
        <f aca="false">#REF!*H51</f>
        <v>#REF!</v>
      </c>
      <c r="Q51" s="10" t="e">
        <f aca="false">#REF!</f>
        <v>#REF!</v>
      </c>
      <c r="R51" s="10" t="n">
        <v>75.9</v>
      </c>
      <c r="S51" s="22"/>
      <c r="T51" s="22"/>
      <c r="U51" s="22"/>
      <c r="V51" s="22"/>
      <c r="W51" s="22"/>
      <c r="X51" s="22"/>
      <c r="Y51" s="10" t="e">
        <f aca="false">#REF!*E51</f>
        <v>#REF!</v>
      </c>
      <c r="Z51" s="10" t="e">
        <f aca="false">#REF!*D51</f>
        <v>#REF!</v>
      </c>
      <c r="AA51" s="10" t="e">
        <f aca="false">#REF!*E51*10*3</f>
        <v>#REF!</v>
      </c>
      <c r="AB51" s="10" t="e">
        <f aca="false">#REF!*E51*10</f>
        <v>#REF!</v>
      </c>
      <c r="AC51" s="10" t="e">
        <f aca="false">#REF!*D51*5</f>
        <v>#REF!</v>
      </c>
      <c r="AD51" s="10" t="e">
        <f aca="false">#REF!*D51*5</f>
        <v>#REF!</v>
      </c>
      <c r="AE51" s="10" t="e">
        <f aca="false">SUM(M51:AD51)</f>
        <v>#REF!</v>
      </c>
      <c r="AF51" s="14" t="n">
        <v>45205</v>
      </c>
      <c r="AG51" s="14" t="n">
        <v>45204</v>
      </c>
      <c r="AH51" s="14" t="n">
        <v>45212</v>
      </c>
      <c r="AI51" s="15"/>
      <c r="AJ51" s="15"/>
      <c r="AK51" s="7"/>
      <c r="AL51" s="7"/>
      <c r="AM51" s="15"/>
      <c r="AN51" s="15" t="n">
        <v>4</v>
      </c>
      <c r="AO51" s="15" t="s">
        <v>66</v>
      </c>
      <c r="AP51" s="15"/>
      <c r="AQ51" s="15"/>
    </row>
    <row r="52" customFormat="false" ht="15.75" hidden="false" customHeight="false" outlineLevel="0" collapsed="false">
      <c r="A52" s="7" t="n">
        <v>51</v>
      </c>
      <c r="B52" s="8" t="n">
        <v>2079</v>
      </c>
      <c r="C52" s="17" t="s">
        <v>247</v>
      </c>
      <c r="D52" s="15"/>
      <c r="E52" s="15"/>
      <c r="F52" s="22"/>
      <c r="G52" s="22"/>
      <c r="H52" s="15" t="n">
        <v>150</v>
      </c>
      <c r="I52" s="11" t="n">
        <v>1</v>
      </c>
      <c r="J52" s="10" t="e">
        <f aca="false">+I52*#REF!</f>
        <v>#REF!</v>
      </c>
      <c r="K52" s="7"/>
      <c r="L52" s="13" t="n">
        <v>2</v>
      </c>
      <c r="M52" s="10" t="e">
        <f aca="false">#REF!*L52</f>
        <v>#REF!</v>
      </c>
      <c r="N52" s="10" t="e">
        <f aca="false">#REF!*L52</f>
        <v>#REF!</v>
      </c>
      <c r="O52" s="10" t="e">
        <f aca="false">#REF!*H52</f>
        <v>#REF!</v>
      </c>
      <c r="P52" s="10" t="e">
        <f aca="false">#REF!*H52</f>
        <v>#REF!</v>
      </c>
      <c r="Q52" s="10" t="e">
        <f aca="false">#REF!</f>
        <v>#REF!</v>
      </c>
      <c r="R52" s="10" t="n">
        <v>75.9</v>
      </c>
      <c r="S52" s="22"/>
      <c r="T52" s="22"/>
      <c r="U52" s="22"/>
      <c r="V52" s="22"/>
      <c r="W52" s="22"/>
      <c r="X52" s="22"/>
      <c r="Y52" s="10" t="e">
        <f aca="false">#REF!*E52</f>
        <v>#REF!</v>
      </c>
      <c r="Z52" s="10" t="e">
        <f aca="false">#REF!*D52</f>
        <v>#REF!</v>
      </c>
      <c r="AA52" s="10" t="e">
        <f aca="false">#REF!*E52*10*3</f>
        <v>#REF!</v>
      </c>
      <c r="AB52" s="10" t="e">
        <f aca="false">#REF!*E52*10</f>
        <v>#REF!</v>
      </c>
      <c r="AC52" s="10" t="e">
        <f aca="false">#REF!*D52*5</f>
        <v>#REF!</v>
      </c>
      <c r="AD52" s="10" t="e">
        <f aca="false">#REF!*D52*5</f>
        <v>#REF!</v>
      </c>
      <c r="AE52" s="10" t="e">
        <f aca="false">SUM(M52:AD52)</f>
        <v>#REF!</v>
      </c>
      <c r="AF52" s="14" t="n">
        <v>45209</v>
      </c>
      <c r="AG52" s="14" t="n">
        <v>45208</v>
      </c>
      <c r="AH52" s="14" t="n">
        <v>45212</v>
      </c>
      <c r="AI52" s="15"/>
      <c r="AJ52" s="15"/>
      <c r="AK52" s="7"/>
      <c r="AL52" s="7"/>
      <c r="AM52" s="15"/>
      <c r="AN52" s="15" t="n">
        <v>2</v>
      </c>
      <c r="AO52" s="15" t="s">
        <v>66</v>
      </c>
      <c r="AP52" s="15"/>
      <c r="AQ52" s="15"/>
    </row>
    <row r="53" customFormat="false" ht="15.75" hidden="false" customHeight="false" outlineLevel="0" collapsed="false">
      <c r="A53" s="7" t="n">
        <v>52</v>
      </c>
      <c r="B53" s="8" t="n">
        <v>4140</v>
      </c>
      <c r="C53" s="17" t="s">
        <v>248</v>
      </c>
      <c r="D53" s="15"/>
      <c r="E53" s="15"/>
      <c r="F53" s="22"/>
      <c r="G53" s="22"/>
      <c r="H53" s="15" t="n">
        <v>150</v>
      </c>
      <c r="I53" s="11" t="n">
        <v>1</v>
      </c>
      <c r="J53" s="10" t="e">
        <f aca="false">+I53*#REF!</f>
        <v>#REF!</v>
      </c>
      <c r="K53" s="7"/>
      <c r="L53" s="13" t="n">
        <v>2</v>
      </c>
      <c r="M53" s="10" t="e">
        <f aca="false">#REF!*L53</f>
        <v>#REF!</v>
      </c>
      <c r="N53" s="10" t="e">
        <f aca="false">#REF!*L53</f>
        <v>#REF!</v>
      </c>
      <c r="O53" s="10" t="e">
        <f aca="false">#REF!*H53</f>
        <v>#REF!</v>
      </c>
      <c r="P53" s="10" t="e">
        <f aca="false">#REF!*H53</f>
        <v>#REF!</v>
      </c>
      <c r="Q53" s="10" t="e">
        <f aca="false">#REF!</f>
        <v>#REF!</v>
      </c>
      <c r="R53" s="10" t="n">
        <v>75.9</v>
      </c>
      <c r="S53" s="22"/>
      <c r="T53" s="22"/>
      <c r="U53" s="22"/>
      <c r="V53" s="22"/>
      <c r="W53" s="22"/>
      <c r="X53" s="22"/>
      <c r="Y53" s="10" t="e">
        <f aca="false">#REF!*E53</f>
        <v>#REF!</v>
      </c>
      <c r="Z53" s="10" t="e">
        <f aca="false">#REF!*D53</f>
        <v>#REF!</v>
      </c>
      <c r="AA53" s="10" t="e">
        <f aca="false">#REF!*E53*10*3</f>
        <v>#REF!</v>
      </c>
      <c r="AB53" s="10" t="e">
        <f aca="false">#REF!*E53*10</f>
        <v>#REF!</v>
      </c>
      <c r="AC53" s="10" t="e">
        <f aca="false">#REF!*D53*5</f>
        <v>#REF!</v>
      </c>
      <c r="AD53" s="10" t="e">
        <f aca="false">#REF!*D53*5</f>
        <v>#REF!</v>
      </c>
      <c r="AE53" s="10" t="e">
        <f aca="false">SUM(M53:AD53)</f>
        <v>#REF!</v>
      </c>
      <c r="AF53" s="14" t="n">
        <v>45209</v>
      </c>
      <c r="AG53" s="14" t="n">
        <v>45208</v>
      </c>
      <c r="AH53" s="14" t="n">
        <v>45209</v>
      </c>
      <c r="AI53" s="15"/>
      <c r="AJ53" s="15"/>
      <c r="AK53" s="7"/>
      <c r="AL53" s="7"/>
      <c r="AM53" s="15"/>
      <c r="AN53" s="15" t="n">
        <v>2</v>
      </c>
      <c r="AO53" s="15" t="s">
        <v>66</v>
      </c>
      <c r="AP53" s="15"/>
      <c r="AQ53" s="15"/>
    </row>
    <row r="54" customFormat="false" ht="15.75" hidden="false" customHeight="false" outlineLevel="0" collapsed="false">
      <c r="A54" s="7" t="n">
        <v>53</v>
      </c>
      <c r="B54" s="8" t="n">
        <v>5106</v>
      </c>
      <c r="C54" s="17" t="s">
        <v>249</v>
      </c>
      <c r="D54" s="15"/>
      <c r="E54" s="15"/>
      <c r="F54" s="22"/>
      <c r="G54" s="22"/>
      <c r="H54" s="15" t="n">
        <v>150</v>
      </c>
      <c r="I54" s="11" t="n">
        <v>1</v>
      </c>
      <c r="J54" s="10" t="e">
        <f aca="false">+I54*#REF!</f>
        <v>#REF!</v>
      </c>
      <c r="K54" s="7"/>
      <c r="L54" s="13" t="n">
        <v>2</v>
      </c>
      <c r="M54" s="10" t="e">
        <f aca="false">#REF!*L54</f>
        <v>#REF!</v>
      </c>
      <c r="N54" s="10" t="e">
        <f aca="false">#REF!*L54</f>
        <v>#REF!</v>
      </c>
      <c r="O54" s="10" t="e">
        <f aca="false">#REF!*H54</f>
        <v>#REF!</v>
      </c>
      <c r="P54" s="10" t="e">
        <f aca="false">#REF!*H54</f>
        <v>#REF!</v>
      </c>
      <c r="Q54" s="10" t="e">
        <f aca="false">#REF!</f>
        <v>#REF!</v>
      </c>
      <c r="R54" s="10" t="n">
        <v>75.9</v>
      </c>
      <c r="S54" s="22"/>
      <c r="T54" s="22"/>
      <c r="U54" s="22"/>
      <c r="V54" s="22"/>
      <c r="W54" s="22"/>
      <c r="X54" s="22"/>
      <c r="Y54" s="10" t="e">
        <f aca="false">#REF!*E54</f>
        <v>#REF!</v>
      </c>
      <c r="Z54" s="10" t="e">
        <f aca="false">#REF!*D54</f>
        <v>#REF!</v>
      </c>
      <c r="AA54" s="10" t="e">
        <f aca="false">#REF!*E54*10*3</f>
        <v>#REF!</v>
      </c>
      <c r="AB54" s="10" t="e">
        <f aca="false">#REF!*E54*10</f>
        <v>#REF!</v>
      </c>
      <c r="AC54" s="10" t="e">
        <f aca="false">#REF!*D54*5</f>
        <v>#REF!</v>
      </c>
      <c r="AD54" s="10" t="e">
        <f aca="false">#REF!*D54*5</f>
        <v>#REF!</v>
      </c>
      <c r="AE54" s="10" t="e">
        <f aca="false">SUM(M54:AD54)</f>
        <v>#REF!</v>
      </c>
      <c r="AF54" s="14" t="n">
        <v>45210</v>
      </c>
      <c r="AG54" s="14" t="n">
        <v>45208</v>
      </c>
      <c r="AH54" s="14" t="n">
        <v>45210</v>
      </c>
      <c r="AI54" s="15"/>
      <c r="AJ54" s="15"/>
      <c r="AK54" s="7"/>
      <c r="AL54" s="7"/>
      <c r="AM54" s="15"/>
      <c r="AN54" s="15" t="n">
        <v>2</v>
      </c>
      <c r="AO54" s="15" t="s">
        <v>66</v>
      </c>
      <c r="AP54" s="15"/>
      <c r="AQ54" s="15"/>
    </row>
    <row r="55" customFormat="false" ht="15.75" hidden="false" customHeight="false" outlineLevel="0" collapsed="false">
      <c r="A55" s="8" t="s">
        <v>250</v>
      </c>
      <c r="B55" s="8" t="s">
        <v>251</v>
      </c>
      <c r="C55" s="9" t="s">
        <v>252</v>
      </c>
      <c r="D55" s="15"/>
      <c r="E55" s="15"/>
      <c r="F55" s="22"/>
      <c r="G55" s="22"/>
      <c r="H55" s="15" t="n">
        <v>150</v>
      </c>
      <c r="I55" s="11" t="n">
        <v>2</v>
      </c>
      <c r="J55" s="10" t="e">
        <f aca="false">+I55*#REF!</f>
        <v>#REF!</v>
      </c>
      <c r="K55" s="23" t="s">
        <v>253</v>
      </c>
      <c r="L55" s="13" t="n">
        <v>5</v>
      </c>
      <c r="M55" s="10" t="e">
        <f aca="false">#REF!*L55</f>
        <v>#REF!</v>
      </c>
      <c r="N55" s="10" t="e">
        <f aca="false">#REF!*L55</f>
        <v>#REF!</v>
      </c>
      <c r="O55" s="10" t="e">
        <f aca="false">#REF!*H55</f>
        <v>#REF!</v>
      </c>
      <c r="P55" s="10" t="e">
        <f aca="false">#REF!*H55</f>
        <v>#REF!</v>
      </c>
      <c r="Q55" s="10" t="e">
        <f aca="false">#REF!</f>
        <v>#REF!</v>
      </c>
      <c r="R55" s="10" t="n">
        <v>75.9</v>
      </c>
      <c r="S55" s="22"/>
      <c r="T55" s="22"/>
      <c r="U55" s="22"/>
      <c r="V55" s="22"/>
      <c r="W55" s="22"/>
      <c r="X55" s="22"/>
      <c r="Y55" s="10" t="e">
        <f aca="false">#REF!*E55</f>
        <v>#REF!</v>
      </c>
      <c r="Z55" s="10" t="e">
        <f aca="false">#REF!*D55</f>
        <v>#REF!</v>
      </c>
      <c r="AA55" s="10" t="e">
        <f aca="false">#REF!*E55*10*3</f>
        <v>#REF!</v>
      </c>
      <c r="AB55" s="10" t="e">
        <f aca="false">#REF!*E55*10</f>
        <v>#REF!</v>
      </c>
      <c r="AC55" s="10" t="e">
        <f aca="false">#REF!*D55*5</f>
        <v>#REF!</v>
      </c>
      <c r="AD55" s="10" t="e">
        <f aca="false">#REF!*D55*5</f>
        <v>#REF!</v>
      </c>
      <c r="AE55" s="10" t="e">
        <f aca="false">SUM(M55:AD55)</f>
        <v>#REF!</v>
      </c>
      <c r="AF55" s="15"/>
      <c r="AG55" s="15"/>
      <c r="AH55" s="15"/>
      <c r="AI55" s="15"/>
      <c r="AJ55" s="15"/>
      <c r="AK55" s="16" t="s">
        <v>254</v>
      </c>
      <c r="AL55" s="7"/>
      <c r="AM55" s="15"/>
      <c r="AN55" s="15"/>
      <c r="AO55" s="15" t="s">
        <v>66</v>
      </c>
      <c r="AP55" s="15"/>
      <c r="AQ55" s="15"/>
    </row>
    <row r="56" customFormat="false" ht="15.75" hidden="false" customHeight="false" outlineLevel="0" collapsed="false">
      <c r="A56" s="8" t="n">
        <v>55</v>
      </c>
      <c r="B56" s="8" t="s">
        <v>255</v>
      </c>
      <c r="C56" s="9" t="s">
        <v>256</v>
      </c>
      <c r="D56" s="8"/>
      <c r="E56" s="8"/>
      <c r="F56" s="22"/>
      <c r="G56" s="22"/>
      <c r="H56" s="8" t="s">
        <v>257</v>
      </c>
      <c r="I56" s="11" t="n">
        <v>1</v>
      </c>
      <c r="J56" s="10" t="e">
        <f aca="false">+I56*#REF!</f>
        <v>#REF!</v>
      </c>
      <c r="K56" s="23" t="s">
        <v>258</v>
      </c>
      <c r="L56" s="13" t="n">
        <v>4</v>
      </c>
      <c r="M56" s="10" t="e">
        <f aca="false">#REF!*L56</f>
        <v>#REF!</v>
      </c>
      <c r="N56" s="10" t="e">
        <f aca="false">#REF!*L56</f>
        <v>#REF!</v>
      </c>
      <c r="O56" s="10" t="e">
        <f aca="false">#REF!*H56</f>
        <v>#REF!</v>
      </c>
      <c r="P56" s="10" t="e">
        <f aca="false">#REF!*H56</f>
        <v>#REF!</v>
      </c>
      <c r="Q56" s="10" t="e">
        <f aca="false">#REF!</f>
        <v>#REF!</v>
      </c>
      <c r="R56" s="10" t="n">
        <v>75.9</v>
      </c>
      <c r="S56" s="22"/>
      <c r="T56" s="22"/>
      <c r="U56" s="22"/>
      <c r="V56" s="22"/>
      <c r="W56" s="22"/>
      <c r="X56" s="22"/>
      <c r="Y56" s="10" t="e">
        <f aca="false">#REF!*E56</f>
        <v>#REF!</v>
      </c>
      <c r="Z56" s="10" t="e">
        <f aca="false">#REF!*D56</f>
        <v>#REF!</v>
      </c>
      <c r="AA56" s="10" t="e">
        <f aca="false">#REF!*E56*10*3</f>
        <v>#REF!</v>
      </c>
      <c r="AB56" s="10" t="e">
        <f aca="false">#REF!*E56*10</f>
        <v>#REF!</v>
      </c>
      <c r="AC56" s="10" t="e">
        <f aca="false">#REF!*D56*5</f>
        <v>#REF!</v>
      </c>
      <c r="AD56" s="10" t="e">
        <f aca="false">#REF!*D56*5</f>
        <v>#REF!</v>
      </c>
      <c r="AE56" s="10" t="e">
        <f aca="false">SUM(M56:AD56)</f>
        <v>#REF!</v>
      </c>
      <c r="AF56" s="15"/>
      <c r="AG56" s="15"/>
      <c r="AH56" s="15"/>
      <c r="AI56" s="15"/>
      <c r="AJ56" s="15"/>
      <c r="AK56" s="16" t="s">
        <v>259</v>
      </c>
      <c r="AL56" s="7"/>
      <c r="AM56" s="15"/>
      <c r="AN56" s="15"/>
      <c r="AO56" s="15" t="s">
        <v>66</v>
      </c>
      <c r="AP56" s="15"/>
      <c r="AQ56" s="15"/>
    </row>
    <row r="57" customFormat="false" ht="15.75" hidden="false" customHeight="false" outlineLevel="0" collapsed="false">
      <c r="A57" s="8" t="s">
        <v>260</v>
      </c>
      <c r="B57" s="8" t="s">
        <v>261</v>
      </c>
      <c r="C57" s="9" t="s">
        <v>262</v>
      </c>
      <c r="D57" s="8"/>
      <c r="E57" s="8"/>
      <c r="F57" s="10" t="e">
        <f aca="false">#REF!</f>
        <v>#REF!</v>
      </c>
      <c r="G57" s="10" t="e">
        <f aca="false">#REF!</f>
        <v>#REF!</v>
      </c>
      <c r="H57" s="8" t="s">
        <v>257</v>
      </c>
      <c r="I57" s="11" t="n">
        <v>2</v>
      </c>
      <c r="J57" s="10" t="e">
        <f aca="false">+I57*#REF!</f>
        <v>#REF!</v>
      </c>
      <c r="K57" s="23" t="s">
        <v>263</v>
      </c>
      <c r="L57" s="13" t="n">
        <v>4</v>
      </c>
      <c r="M57" s="10" t="e">
        <f aca="false">#REF!*L57</f>
        <v>#REF!</v>
      </c>
      <c r="N57" s="10" t="e">
        <f aca="false">#REF!*L57</f>
        <v>#REF!</v>
      </c>
      <c r="O57" s="10" t="e">
        <f aca="false">#REF!*H57</f>
        <v>#REF!</v>
      </c>
      <c r="P57" s="10" t="e">
        <f aca="false">#REF!*H57</f>
        <v>#REF!</v>
      </c>
      <c r="Q57" s="10" t="e">
        <f aca="false">Q2</f>
        <v>#REF!</v>
      </c>
      <c r="R57" s="10" t="n">
        <v>75.9</v>
      </c>
      <c r="S57" s="10" t="e">
        <f aca="false">#REF!</f>
        <v>#REF!</v>
      </c>
      <c r="T57" s="10" t="e">
        <f aca="false">#REF!</f>
        <v>#REF!</v>
      </c>
      <c r="U57" s="10" t="e">
        <f aca="false">#REF!</f>
        <v>#REF!</v>
      </c>
      <c r="V57" s="10" t="e">
        <f aca="false">#REF!</f>
        <v>#REF!</v>
      </c>
      <c r="W57" s="10" t="e">
        <f aca="false">#REF!</f>
        <v>#REF!</v>
      </c>
      <c r="X57" s="10" t="e">
        <f aca="false">#REF!</f>
        <v>#REF!</v>
      </c>
      <c r="Y57" s="10" t="e">
        <f aca="false">#REF!*E57</f>
        <v>#REF!</v>
      </c>
      <c r="Z57" s="10" t="e">
        <f aca="false">#REF!*D57</f>
        <v>#REF!</v>
      </c>
      <c r="AA57" s="10" t="e">
        <f aca="false">#REF!*E57*10*3</f>
        <v>#REF!</v>
      </c>
      <c r="AB57" s="10" t="e">
        <f aca="false">#REF!*E57*10</f>
        <v>#REF!</v>
      </c>
      <c r="AC57" s="10" t="e">
        <f aca="false">#REF!*D57*5</f>
        <v>#REF!</v>
      </c>
      <c r="AD57" s="10" t="e">
        <f aca="false">#REF!*D57*5</f>
        <v>#REF!</v>
      </c>
      <c r="AE57" s="10" t="e">
        <f aca="false">SUM(M57:AD57)</f>
        <v>#REF!</v>
      </c>
      <c r="AF57" s="14" t="n">
        <v>46009</v>
      </c>
      <c r="AG57" s="25" t="n">
        <v>45992</v>
      </c>
      <c r="AH57" s="15"/>
      <c r="AI57" s="15"/>
      <c r="AJ57" s="15"/>
      <c r="AK57" s="16" t="s">
        <v>264</v>
      </c>
      <c r="AL57" s="7" t="n">
        <v>4</v>
      </c>
      <c r="AM57" s="15"/>
      <c r="AN57" s="15"/>
      <c r="AO57" s="26" t="s">
        <v>88</v>
      </c>
      <c r="AP57" s="19" t="s">
        <v>89</v>
      </c>
      <c r="AQ57" s="15"/>
    </row>
    <row r="58" customFormat="false" ht="15.75" hidden="false" customHeight="false" outlineLevel="0" collapsed="false">
      <c r="A58" s="8" t="s">
        <v>265</v>
      </c>
      <c r="B58" s="8" t="s">
        <v>266</v>
      </c>
      <c r="C58" s="17" t="s">
        <v>267</v>
      </c>
      <c r="D58" s="8"/>
      <c r="E58" s="8"/>
      <c r="F58" s="22"/>
      <c r="G58" s="22"/>
      <c r="H58" s="8" t="s">
        <v>257</v>
      </c>
      <c r="I58" s="11" t="n">
        <v>1</v>
      </c>
      <c r="J58" s="10" t="e">
        <f aca="false">+I58*#REF!</f>
        <v>#REF!</v>
      </c>
      <c r="K58" s="8"/>
      <c r="L58" s="13" t="n">
        <v>3</v>
      </c>
      <c r="M58" s="10" t="e">
        <f aca="false">#REF!*L58</f>
        <v>#REF!</v>
      </c>
      <c r="N58" s="10" t="e">
        <f aca="false">#REF!*L58</f>
        <v>#REF!</v>
      </c>
      <c r="O58" s="10" t="e">
        <f aca="false">#REF!*H58</f>
        <v>#REF!</v>
      </c>
      <c r="P58" s="10" t="e">
        <f aca="false">#REF!*H58</f>
        <v>#REF!</v>
      </c>
      <c r="Q58" s="10" t="e">
        <f aca="false">Q3</f>
        <v>#REF!</v>
      </c>
      <c r="R58" s="10" t="n">
        <v>75.9</v>
      </c>
      <c r="S58" s="22"/>
      <c r="T58" s="22"/>
      <c r="U58" s="22"/>
      <c r="V58" s="22"/>
      <c r="W58" s="22"/>
      <c r="X58" s="22"/>
      <c r="Y58" s="10" t="e">
        <f aca="false">#REF!*E58</f>
        <v>#REF!</v>
      </c>
      <c r="Z58" s="10" t="e">
        <f aca="false">#REF!*D58</f>
        <v>#REF!</v>
      </c>
      <c r="AA58" s="10" t="e">
        <f aca="false">#REF!*E58*10*3</f>
        <v>#REF!</v>
      </c>
      <c r="AB58" s="10" t="e">
        <f aca="false">#REF!*E58*10</f>
        <v>#REF!</v>
      </c>
      <c r="AC58" s="10" t="e">
        <f aca="false">#REF!*D58*5</f>
        <v>#REF!</v>
      </c>
      <c r="AD58" s="10" t="e">
        <f aca="false">#REF!*D58*5</f>
        <v>#REF!</v>
      </c>
      <c r="AE58" s="10" t="e">
        <f aca="false">SUM(M58:AD58)</f>
        <v>#REF!</v>
      </c>
      <c r="AF58" s="14" t="n">
        <v>45205</v>
      </c>
      <c r="AG58" s="14" t="n">
        <v>45204</v>
      </c>
      <c r="AH58" s="14" t="n">
        <v>45215</v>
      </c>
      <c r="AI58" s="15"/>
      <c r="AJ58" s="15"/>
      <c r="AK58" s="7"/>
      <c r="AL58" s="7"/>
      <c r="AM58" s="15"/>
      <c r="AN58" s="15" t="n">
        <v>3</v>
      </c>
      <c r="AO58" s="15" t="s">
        <v>66</v>
      </c>
      <c r="AP58" s="15"/>
      <c r="AQ58" s="15"/>
    </row>
    <row r="59" customFormat="false" ht="15.75" hidden="false" customHeight="false" outlineLevel="0" collapsed="false">
      <c r="A59" s="8" t="s">
        <v>268</v>
      </c>
      <c r="B59" s="8" t="s">
        <v>269</v>
      </c>
      <c r="C59" s="9" t="s">
        <v>270</v>
      </c>
      <c r="D59" s="8"/>
      <c r="E59" s="8"/>
      <c r="F59" s="22"/>
      <c r="G59" s="22"/>
      <c r="H59" s="8" t="s">
        <v>257</v>
      </c>
      <c r="I59" s="11" t="n">
        <v>2</v>
      </c>
      <c r="J59" s="10" t="e">
        <f aca="false">+I59*#REF!</f>
        <v>#REF!</v>
      </c>
      <c r="K59" s="8"/>
      <c r="L59" s="13" t="n">
        <v>6</v>
      </c>
      <c r="M59" s="10" t="e">
        <f aca="false">#REF!*L59</f>
        <v>#REF!</v>
      </c>
      <c r="N59" s="10" t="e">
        <f aca="false">#REF!*L59</f>
        <v>#REF!</v>
      </c>
      <c r="O59" s="10" t="e">
        <f aca="false">#REF!*H59</f>
        <v>#REF!</v>
      </c>
      <c r="P59" s="10" t="e">
        <f aca="false">#REF!*H59</f>
        <v>#REF!</v>
      </c>
      <c r="Q59" s="10" t="e">
        <f aca="false">Q4</f>
        <v>#REF!</v>
      </c>
      <c r="R59" s="10" t="n">
        <v>75.9</v>
      </c>
      <c r="S59" s="22"/>
      <c r="T59" s="22"/>
      <c r="U59" s="22"/>
      <c r="V59" s="22"/>
      <c r="W59" s="22"/>
      <c r="X59" s="22"/>
      <c r="Y59" s="10" t="e">
        <f aca="false">#REF!*E59</f>
        <v>#REF!</v>
      </c>
      <c r="Z59" s="10" t="e">
        <f aca="false">#REF!*D59</f>
        <v>#REF!</v>
      </c>
      <c r="AA59" s="10" t="e">
        <f aca="false">#REF!*E59*10*3</f>
        <v>#REF!</v>
      </c>
      <c r="AB59" s="10" t="e">
        <f aca="false">#REF!*E59*10</f>
        <v>#REF!</v>
      </c>
      <c r="AC59" s="10" t="e">
        <f aca="false">#REF!*D59*5</f>
        <v>#REF!</v>
      </c>
      <c r="AD59" s="10" t="e">
        <f aca="false">#REF!*D59*5</f>
        <v>#REF!</v>
      </c>
      <c r="AE59" s="10" t="e">
        <f aca="false">SUM(M59:AD59)</f>
        <v>#REF!</v>
      </c>
      <c r="AF59" s="14" t="n">
        <v>45289</v>
      </c>
      <c r="AG59" s="14" t="n">
        <v>45208</v>
      </c>
      <c r="AH59" s="15"/>
      <c r="AI59" s="18" t="s">
        <v>161</v>
      </c>
      <c r="AJ59" s="15"/>
      <c r="AK59" s="7"/>
      <c r="AL59" s="7" t="s">
        <v>271</v>
      </c>
      <c r="AM59" s="15" t="n">
        <v>1</v>
      </c>
      <c r="AN59" s="15" t="n">
        <v>2</v>
      </c>
      <c r="AO59" s="15" t="s">
        <v>66</v>
      </c>
      <c r="AP59" s="15"/>
      <c r="AQ59" s="15"/>
    </row>
    <row r="60" customFormat="false" ht="15.75" hidden="false" customHeight="false" outlineLevel="0" collapsed="false">
      <c r="A60" s="8" t="s">
        <v>272</v>
      </c>
      <c r="B60" s="8" t="s">
        <v>273</v>
      </c>
      <c r="C60" s="9" t="s">
        <v>274</v>
      </c>
      <c r="D60" s="8" t="s">
        <v>275</v>
      </c>
      <c r="E60" s="8"/>
      <c r="F60" s="10" t="e">
        <f aca="false">#REF!</f>
        <v>#REF!</v>
      </c>
      <c r="G60" s="10" t="e">
        <f aca="false">#REF!</f>
        <v>#REF!</v>
      </c>
      <c r="H60" s="8" t="n">
        <v>155</v>
      </c>
      <c r="I60" s="11" t="n">
        <v>1</v>
      </c>
      <c r="J60" s="10" t="e">
        <f aca="false">+I60*#REF!</f>
        <v>#REF!</v>
      </c>
      <c r="K60" s="8"/>
      <c r="L60" s="13" t="n">
        <v>3</v>
      </c>
      <c r="M60" s="10" t="e">
        <f aca="false">#REF!*L60</f>
        <v>#REF!</v>
      </c>
      <c r="N60" s="10" t="e">
        <f aca="false">#REF!*L60</f>
        <v>#REF!</v>
      </c>
      <c r="O60" s="10" t="e">
        <f aca="false">#REF!*H60</f>
        <v>#REF!</v>
      </c>
      <c r="P60" s="10" t="e">
        <f aca="false">#REF!*H60</f>
        <v>#REF!</v>
      </c>
      <c r="Q60" s="10" t="e">
        <f aca="false">Q5</f>
        <v>#REF!</v>
      </c>
      <c r="R60" s="10" t="n">
        <v>75.9</v>
      </c>
      <c r="S60" s="10" t="e">
        <f aca="false">#REF!</f>
        <v>#REF!</v>
      </c>
      <c r="T60" s="10" t="e">
        <f aca="false">#REF!</f>
        <v>#REF!</v>
      </c>
      <c r="U60" s="10" t="e">
        <f aca="false">#REF!</f>
        <v>#REF!</v>
      </c>
      <c r="V60" s="10" t="e">
        <f aca="false">#REF!</f>
        <v>#REF!</v>
      </c>
      <c r="W60" s="10" t="e">
        <f aca="false">#REF!</f>
        <v>#REF!</v>
      </c>
      <c r="X60" s="10" t="e">
        <f aca="false">#REF!</f>
        <v>#REF!</v>
      </c>
      <c r="Y60" s="10" t="e">
        <f aca="false">#REF!*E60</f>
        <v>#REF!</v>
      </c>
      <c r="Z60" s="10" t="e">
        <f aca="false">#REF!*D60</f>
        <v>#REF!</v>
      </c>
      <c r="AA60" s="10" t="e">
        <f aca="false">#REF!*E60*10*3</f>
        <v>#REF!</v>
      </c>
      <c r="AB60" s="10" t="e">
        <f aca="false">#REF!*E60*10</f>
        <v>#REF!</v>
      </c>
      <c r="AC60" s="10" t="e">
        <f aca="false">#REF!*D60*5</f>
        <v>#REF!</v>
      </c>
      <c r="AD60" s="10" t="e">
        <f aca="false">#REF!*D60*5</f>
        <v>#REF!</v>
      </c>
      <c r="AE60" s="10" t="e">
        <f aca="false">SUM(M60:AD60)</f>
        <v>#REF!</v>
      </c>
      <c r="AF60" s="14" t="n">
        <v>45302</v>
      </c>
      <c r="AG60" s="14" t="n">
        <v>45216</v>
      </c>
      <c r="AH60" s="15"/>
      <c r="AI60" s="15"/>
      <c r="AJ60" s="15"/>
      <c r="AK60" s="7"/>
      <c r="AL60" s="7" t="s">
        <v>276</v>
      </c>
      <c r="AM60" s="15"/>
      <c r="AN60" s="15" t="n">
        <v>1</v>
      </c>
      <c r="AO60" s="26" t="s">
        <v>88</v>
      </c>
      <c r="AP60" s="19" t="s">
        <v>89</v>
      </c>
      <c r="AQ60" s="15"/>
    </row>
    <row r="61" customFormat="false" ht="15.75" hidden="false" customHeight="false" outlineLevel="0" collapsed="false">
      <c r="A61" s="8" t="s">
        <v>277</v>
      </c>
      <c r="B61" s="8" t="s">
        <v>278</v>
      </c>
      <c r="C61" s="9" t="s">
        <v>279</v>
      </c>
      <c r="D61" s="8" t="s">
        <v>275</v>
      </c>
      <c r="E61" s="8"/>
      <c r="F61" s="10" t="e">
        <f aca="false">#REF!</f>
        <v>#REF!</v>
      </c>
      <c r="G61" s="10" t="e">
        <f aca="false">#REF!</f>
        <v>#REF!</v>
      </c>
      <c r="H61" s="8" t="n">
        <v>155</v>
      </c>
      <c r="I61" s="11" t="n">
        <v>2</v>
      </c>
      <c r="J61" s="10" t="e">
        <f aca="false">+I61*#REF!</f>
        <v>#REF!</v>
      </c>
      <c r="K61" s="8"/>
      <c r="L61" s="13" t="n">
        <v>5</v>
      </c>
      <c r="M61" s="10" t="e">
        <f aca="false">#REF!*L61</f>
        <v>#REF!</v>
      </c>
      <c r="N61" s="10" t="e">
        <f aca="false">#REF!*L61</f>
        <v>#REF!</v>
      </c>
      <c r="O61" s="10" t="e">
        <f aca="false">#REF!*H61</f>
        <v>#REF!</v>
      </c>
      <c r="P61" s="10" t="e">
        <f aca="false">#REF!*H61</f>
        <v>#REF!</v>
      </c>
      <c r="Q61" s="10" t="e">
        <f aca="false">Q6</f>
        <v>#REF!</v>
      </c>
      <c r="R61" s="10" t="n">
        <v>75.9</v>
      </c>
      <c r="S61" s="10" t="e">
        <f aca="false">#REF!</f>
        <v>#REF!</v>
      </c>
      <c r="T61" s="10" t="e">
        <f aca="false">#REF!</f>
        <v>#REF!</v>
      </c>
      <c r="U61" s="10" t="e">
        <f aca="false">#REF!</f>
        <v>#REF!</v>
      </c>
      <c r="V61" s="10" t="e">
        <f aca="false">#REF!</f>
        <v>#REF!</v>
      </c>
      <c r="W61" s="10" t="e">
        <f aca="false">#REF!</f>
        <v>#REF!</v>
      </c>
      <c r="X61" s="10" t="e">
        <f aca="false">#REF!</f>
        <v>#REF!</v>
      </c>
      <c r="Y61" s="10" t="e">
        <f aca="false">#REF!*E61</f>
        <v>#REF!</v>
      </c>
      <c r="Z61" s="10" t="e">
        <f aca="false">#REF!*D61</f>
        <v>#REF!</v>
      </c>
      <c r="AA61" s="10" t="e">
        <f aca="false">#REF!*E61*10*3</f>
        <v>#REF!</v>
      </c>
      <c r="AB61" s="10" t="e">
        <f aca="false">#REF!*E61*10</f>
        <v>#REF!</v>
      </c>
      <c r="AC61" s="10" t="e">
        <f aca="false">#REF!*D61*5</f>
        <v>#REF!</v>
      </c>
      <c r="AD61" s="10" t="e">
        <f aca="false">#REF!*D61*5</f>
        <v>#REF!</v>
      </c>
      <c r="AE61" s="10" t="e">
        <f aca="false">SUM(M61:AD61)</f>
        <v>#REF!</v>
      </c>
      <c r="AF61" s="14" t="n">
        <v>45244</v>
      </c>
      <c r="AG61" s="14" t="n">
        <v>45216</v>
      </c>
      <c r="AH61" s="15"/>
      <c r="AI61" s="15" t="s">
        <v>45</v>
      </c>
      <c r="AJ61" s="15"/>
      <c r="AK61" s="7"/>
      <c r="AL61" s="7" t="s">
        <v>280</v>
      </c>
      <c r="AM61" s="15" t="n">
        <v>4</v>
      </c>
      <c r="AN61" s="15"/>
      <c r="AO61" s="26" t="s">
        <v>88</v>
      </c>
      <c r="AP61" s="19" t="s">
        <v>89</v>
      </c>
      <c r="AQ61" s="15"/>
    </row>
    <row r="62" customFormat="false" ht="15.75" hidden="false" customHeight="false" outlineLevel="0" collapsed="false">
      <c r="A62" s="8" t="s">
        <v>281</v>
      </c>
      <c r="B62" s="8" t="s">
        <v>282</v>
      </c>
      <c r="C62" s="17" t="s">
        <v>283</v>
      </c>
      <c r="D62" s="8"/>
      <c r="E62" s="8"/>
      <c r="F62" s="10" t="e">
        <f aca="false">#REF!</f>
        <v>#REF!</v>
      </c>
      <c r="G62" s="10" t="e">
        <f aca="false">#REF!</f>
        <v>#REF!</v>
      </c>
      <c r="H62" s="8" t="s">
        <v>257</v>
      </c>
      <c r="I62" s="11" t="n">
        <v>1</v>
      </c>
      <c r="J62" s="10" t="e">
        <f aca="false">+I62*#REF!</f>
        <v>#REF!</v>
      </c>
      <c r="K62" s="8"/>
      <c r="L62" s="13" t="n">
        <v>4</v>
      </c>
      <c r="M62" s="10" t="e">
        <f aca="false">#REF!*L62</f>
        <v>#REF!</v>
      </c>
      <c r="N62" s="10" t="e">
        <f aca="false">#REF!*L62</f>
        <v>#REF!</v>
      </c>
      <c r="O62" s="10" t="e">
        <f aca="false">#REF!*H62</f>
        <v>#REF!</v>
      </c>
      <c r="P62" s="10" t="e">
        <f aca="false">#REF!*H62</f>
        <v>#REF!</v>
      </c>
      <c r="Q62" s="10" t="e">
        <f aca="false">Q7</f>
        <v>#REF!</v>
      </c>
      <c r="R62" s="10" t="n">
        <v>75.9</v>
      </c>
      <c r="S62" s="10" t="e">
        <f aca="false">#REF!</f>
        <v>#REF!</v>
      </c>
      <c r="T62" s="10" t="e">
        <f aca="false">#REF!</f>
        <v>#REF!</v>
      </c>
      <c r="U62" s="10" t="e">
        <f aca="false">#REF!</f>
        <v>#REF!</v>
      </c>
      <c r="V62" s="10" t="e">
        <f aca="false">#REF!</f>
        <v>#REF!</v>
      </c>
      <c r="W62" s="10" t="e">
        <f aca="false">#REF!</f>
        <v>#REF!</v>
      </c>
      <c r="X62" s="10" t="e">
        <f aca="false">#REF!</f>
        <v>#REF!</v>
      </c>
      <c r="Y62" s="10" t="e">
        <f aca="false">#REF!*E62</f>
        <v>#REF!</v>
      </c>
      <c r="Z62" s="10" t="e">
        <f aca="false">#REF!*D62</f>
        <v>#REF!</v>
      </c>
      <c r="AA62" s="10" t="e">
        <f aca="false">#REF!*E62*10*3</f>
        <v>#REF!</v>
      </c>
      <c r="AB62" s="10" t="e">
        <f aca="false">#REF!*E62*10</f>
        <v>#REF!</v>
      </c>
      <c r="AC62" s="10" t="e">
        <f aca="false">#REF!*D62*5</f>
        <v>#REF!</v>
      </c>
      <c r="AD62" s="10" t="e">
        <f aca="false">#REF!*D62*5</f>
        <v>#REF!</v>
      </c>
      <c r="AE62" s="10" t="e">
        <f aca="false">SUM(M62:AD62)</f>
        <v>#REF!</v>
      </c>
      <c r="AF62" s="14" t="n">
        <v>45287</v>
      </c>
      <c r="AG62" s="14" t="n">
        <v>45216</v>
      </c>
      <c r="AH62" s="14" t="n">
        <v>45287</v>
      </c>
      <c r="AI62" s="15"/>
      <c r="AJ62" s="15"/>
      <c r="AK62" s="7"/>
      <c r="AL62" s="7"/>
      <c r="AM62" s="15"/>
      <c r="AN62" s="15" t="n">
        <v>4</v>
      </c>
      <c r="AO62" s="26" t="s">
        <v>88</v>
      </c>
      <c r="AP62" s="19" t="s">
        <v>89</v>
      </c>
      <c r="AQ62" s="15"/>
    </row>
    <row r="63" customFormat="false" ht="15.75" hidden="false" customHeight="false" outlineLevel="0" collapsed="false">
      <c r="A63" s="8" t="s">
        <v>284</v>
      </c>
      <c r="B63" s="8" t="s">
        <v>285</v>
      </c>
      <c r="C63" s="9" t="s">
        <v>286</v>
      </c>
      <c r="D63" s="8"/>
      <c r="E63" s="8"/>
      <c r="F63" s="10" t="e">
        <f aca="false">#REF!</f>
        <v>#REF!</v>
      </c>
      <c r="G63" s="10" t="e">
        <f aca="false">#REF!</f>
        <v>#REF!</v>
      </c>
      <c r="H63" s="8" t="s">
        <v>257</v>
      </c>
      <c r="I63" s="11" t="n">
        <v>1</v>
      </c>
      <c r="J63" s="10" t="e">
        <f aca="false">+I63*#REF!</f>
        <v>#REF!</v>
      </c>
      <c r="K63" s="8"/>
      <c r="L63" s="13" t="n">
        <v>3</v>
      </c>
      <c r="M63" s="10" t="e">
        <f aca="false">#REF!*L63</f>
        <v>#REF!</v>
      </c>
      <c r="N63" s="10" t="e">
        <f aca="false">#REF!*L63</f>
        <v>#REF!</v>
      </c>
      <c r="O63" s="10" t="e">
        <f aca="false">#REF!*H63</f>
        <v>#REF!</v>
      </c>
      <c r="P63" s="10" t="e">
        <f aca="false">#REF!*H63</f>
        <v>#REF!</v>
      </c>
      <c r="Q63" s="10" t="e">
        <f aca="false">Q8</f>
        <v>#REF!</v>
      </c>
      <c r="R63" s="10" t="n">
        <v>75.9</v>
      </c>
      <c r="S63" s="10" t="e">
        <f aca="false">#REF!</f>
        <v>#REF!</v>
      </c>
      <c r="T63" s="10" t="e">
        <f aca="false">#REF!</f>
        <v>#REF!</v>
      </c>
      <c r="U63" s="10" t="e">
        <f aca="false">#REF!</f>
        <v>#REF!</v>
      </c>
      <c r="V63" s="10" t="e">
        <f aca="false">#REF!</f>
        <v>#REF!</v>
      </c>
      <c r="W63" s="10" t="e">
        <f aca="false">#REF!</f>
        <v>#REF!</v>
      </c>
      <c r="X63" s="10" t="e">
        <f aca="false">#REF!</f>
        <v>#REF!</v>
      </c>
      <c r="Y63" s="10" t="e">
        <f aca="false">#REF!*E63</f>
        <v>#REF!</v>
      </c>
      <c r="Z63" s="10" t="e">
        <f aca="false">#REF!*D63</f>
        <v>#REF!</v>
      </c>
      <c r="AA63" s="10" t="e">
        <f aca="false">#REF!*E63*10*3</f>
        <v>#REF!</v>
      </c>
      <c r="AB63" s="10" t="e">
        <f aca="false">#REF!*E63*10</f>
        <v>#REF!</v>
      </c>
      <c r="AC63" s="10" t="e">
        <f aca="false">#REF!*D63*5</f>
        <v>#REF!</v>
      </c>
      <c r="AD63" s="10" t="e">
        <f aca="false">#REF!*D63*5</f>
        <v>#REF!</v>
      </c>
      <c r="AE63" s="10" t="e">
        <f aca="false">SUM(M63:AD63)</f>
        <v>#REF!</v>
      </c>
      <c r="AF63" s="14" t="n">
        <v>45244</v>
      </c>
      <c r="AG63" s="14" t="n">
        <v>45216</v>
      </c>
      <c r="AH63" s="15"/>
      <c r="AI63" s="18" t="s">
        <v>161</v>
      </c>
      <c r="AJ63" s="15"/>
      <c r="AK63" s="7"/>
      <c r="AL63" s="7" t="s">
        <v>287</v>
      </c>
      <c r="AM63" s="15" t="n">
        <v>2</v>
      </c>
      <c r="AN63" s="15"/>
      <c r="AO63" s="26" t="s">
        <v>88</v>
      </c>
      <c r="AP63" s="19" t="s">
        <v>89</v>
      </c>
      <c r="AQ63" s="15"/>
    </row>
    <row r="64" customFormat="false" ht="15.75" hidden="false" customHeight="false" outlineLevel="0" collapsed="false">
      <c r="A64" s="8" t="s">
        <v>288</v>
      </c>
      <c r="B64" s="8" t="s">
        <v>289</v>
      </c>
      <c r="C64" s="17" t="s">
        <v>290</v>
      </c>
      <c r="D64" s="8"/>
      <c r="E64" s="8"/>
      <c r="F64" s="10" t="e">
        <f aca="false">#REF!</f>
        <v>#REF!</v>
      </c>
      <c r="G64" s="10" t="e">
        <f aca="false">#REF!</f>
        <v>#REF!</v>
      </c>
      <c r="H64" s="8" t="s">
        <v>257</v>
      </c>
      <c r="I64" s="11" t="n">
        <v>1</v>
      </c>
      <c r="J64" s="10" t="e">
        <f aca="false">+I64*#REF!</f>
        <v>#REF!</v>
      </c>
      <c r="K64" s="8"/>
      <c r="L64" s="13" t="n">
        <v>2</v>
      </c>
      <c r="M64" s="10" t="e">
        <f aca="false">#REF!*L64</f>
        <v>#REF!</v>
      </c>
      <c r="N64" s="10" t="e">
        <f aca="false">#REF!*L64</f>
        <v>#REF!</v>
      </c>
      <c r="O64" s="10" t="e">
        <f aca="false">#REF!*H64</f>
        <v>#REF!</v>
      </c>
      <c r="P64" s="10" t="e">
        <f aca="false">#REF!*H64</f>
        <v>#REF!</v>
      </c>
      <c r="Q64" s="10" t="e">
        <f aca="false">Q9</f>
        <v>#REF!</v>
      </c>
      <c r="R64" s="10" t="n">
        <v>75.9</v>
      </c>
      <c r="S64" s="10" t="e">
        <f aca="false">#REF!</f>
        <v>#REF!</v>
      </c>
      <c r="T64" s="10" t="e">
        <f aca="false">#REF!</f>
        <v>#REF!</v>
      </c>
      <c r="U64" s="10" t="e">
        <f aca="false">#REF!</f>
        <v>#REF!</v>
      </c>
      <c r="V64" s="10" t="e">
        <f aca="false">#REF!</f>
        <v>#REF!</v>
      </c>
      <c r="W64" s="10" t="e">
        <f aca="false">#REF!</f>
        <v>#REF!</v>
      </c>
      <c r="X64" s="10" t="e">
        <f aca="false">#REF!</f>
        <v>#REF!</v>
      </c>
      <c r="Y64" s="10" t="e">
        <f aca="false">#REF!*E64</f>
        <v>#REF!</v>
      </c>
      <c r="Z64" s="10" t="e">
        <f aca="false">#REF!*D64</f>
        <v>#REF!</v>
      </c>
      <c r="AA64" s="10" t="e">
        <f aca="false">#REF!*E64*10*3</f>
        <v>#REF!</v>
      </c>
      <c r="AB64" s="10" t="e">
        <f aca="false">#REF!*E64*10</f>
        <v>#REF!</v>
      </c>
      <c r="AC64" s="10" t="e">
        <f aca="false">#REF!*D64*5</f>
        <v>#REF!</v>
      </c>
      <c r="AD64" s="10" t="e">
        <f aca="false">#REF!*D64*5</f>
        <v>#REF!</v>
      </c>
      <c r="AE64" s="10" t="e">
        <f aca="false">SUM(M64:AD64)</f>
        <v>#REF!</v>
      </c>
      <c r="AF64" s="14" t="n">
        <v>45232</v>
      </c>
      <c r="AG64" s="14" t="n">
        <v>45216</v>
      </c>
      <c r="AH64" s="14" t="n">
        <v>45232</v>
      </c>
      <c r="AI64" s="15"/>
      <c r="AJ64" s="15"/>
      <c r="AK64" s="7"/>
      <c r="AL64" s="7"/>
      <c r="AM64" s="15"/>
      <c r="AN64" s="15" t="n">
        <v>2</v>
      </c>
      <c r="AO64" s="26" t="s">
        <v>88</v>
      </c>
      <c r="AP64" s="19" t="s">
        <v>89</v>
      </c>
      <c r="AQ64" s="15"/>
    </row>
    <row r="65" customFormat="false" ht="15.75" hidden="false" customHeight="false" outlineLevel="0" collapsed="false">
      <c r="A65" s="8" t="s">
        <v>291</v>
      </c>
      <c r="B65" s="8" t="s">
        <v>292</v>
      </c>
      <c r="C65" s="17" t="s">
        <v>293</v>
      </c>
      <c r="D65" s="8"/>
      <c r="E65" s="8"/>
      <c r="F65" s="10" t="e">
        <f aca="false">#REF!</f>
        <v>#REF!</v>
      </c>
      <c r="G65" s="10" t="e">
        <f aca="false">#REF!</f>
        <v>#REF!</v>
      </c>
      <c r="H65" s="8" t="s">
        <v>257</v>
      </c>
      <c r="I65" s="11" t="n">
        <v>1</v>
      </c>
      <c r="J65" s="10" t="e">
        <f aca="false">+I65*#REF!</f>
        <v>#REF!</v>
      </c>
      <c r="K65" s="8"/>
      <c r="L65" s="13" t="n">
        <v>2</v>
      </c>
      <c r="M65" s="10" t="e">
        <f aca="false">#REF!*L65</f>
        <v>#REF!</v>
      </c>
      <c r="N65" s="10" t="e">
        <f aca="false">#REF!*L65</f>
        <v>#REF!</v>
      </c>
      <c r="O65" s="10" t="e">
        <f aca="false">#REF!*H65</f>
        <v>#REF!</v>
      </c>
      <c r="P65" s="10" t="e">
        <f aca="false">#REF!*H65</f>
        <v>#REF!</v>
      </c>
      <c r="Q65" s="10" t="e">
        <f aca="false">Q10</f>
        <v>#REF!</v>
      </c>
      <c r="R65" s="10" t="n">
        <v>75.9</v>
      </c>
      <c r="S65" s="10" t="e">
        <f aca="false">#REF!</f>
        <v>#REF!</v>
      </c>
      <c r="T65" s="10" t="e">
        <f aca="false">#REF!</f>
        <v>#REF!</v>
      </c>
      <c r="U65" s="10" t="e">
        <f aca="false">#REF!</f>
        <v>#REF!</v>
      </c>
      <c r="V65" s="10" t="e">
        <f aca="false">#REF!</f>
        <v>#REF!</v>
      </c>
      <c r="W65" s="10" t="e">
        <f aca="false">#REF!</f>
        <v>#REF!</v>
      </c>
      <c r="X65" s="10" t="e">
        <f aca="false">#REF!</f>
        <v>#REF!</v>
      </c>
      <c r="Y65" s="10" t="e">
        <f aca="false">#REF!*E65</f>
        <v>#REF!</v>
      </c>
      <c r="Z65" s="10" t="e">
        <f aca="false">#REF!*D65</f>
        <v>#REF!</v>
      </c>
      <c r="AA65" s="10" t="e">
        <f aca="false">#REF!*E65*10*3</f>
        <v>#REF!</v>
      </c>
      <c r="AB65" s="10" t="e">
        <f aca="false">#REF!*E65*10</f>
        <v>#REF!</v>
      </c>
      <c r="AC65" s="10" t="e">
        <f aca="false">#REF!*D65*5</f>
        <v>#REF!</v>
      </c>
      <c r="AD65" s="10" t="e">
        <f aca="false">#REF!*D65*5</f>
        <v>#REF!</v>
      </c>
      <c r="AE65" s="10" t="e">
        <f aca="false">SUM(M65:AD65)</f>
        <v>#REF!</v>
      </c>
      <c r="AF65" s="14" t="n">
        <v>45224</v>
      </c>
      <c r="AG65" s="14" t="n">
        <v>45216</v>
      </c>
      <c r="AH65" s="14" t="n">
        <v>45229</v>
      </c>
      <c r="AI65" s="15"/>
      <c r="AJ65" s="15"/>
      <c r="AK65" s="7"/>
      <c r="AL65" s="7"/>
      <c r="AM65" s="15"/>
      <c r="AN65" s="15" t="n">
        <v>2</v>
      </c>
      <c r="AO65" s="26" t="s">
        <v>88</v>
      </c>
      <c r="AP65" s="19" t="s">
        <v>89</v>
      </c>
      <c r="AQ65" s="15"/>
    </row>
    <row r="66" customFormat="false" ht="15.75" hidden="false" customHeight="false" outlineLevel="0" collapsed="false">
      <c r="A66" s="8" t="s">
        <v>294</v>
      </c>
      <c r="B66" s="8" t="s">
        <v>295</v>
      </c>
      <c r="C66" s="17" t="s">
        <v>296</v>
      </c>
      <c r="D66" s="8"/>
      <c r="E66" s="8"/>
      <c r="F66" s="22"/>
      <c r="G66" s="22"/>
      <c r="H66" s="8" t="s">
        <v>257</v>
      </c>
      <c r="I66" s="11" t="n">
        <v>1</v>
      </c>
      <c r="J66" s="10" t="e">
        <f aca="false">+I66*#REF!</f>
        <v>#REF!</v>
      </c>
      <c r="K66" s="8"/>
      <c r="L66" s="13" t="n">
        <v>3</v>
      </c>
      <c r="M66" s="10" t="e">
        <f aca="false">#REF!*L66</f>
        <v>#REF!</v>
      </c>
      <c r="N66" s="10" t="e">
        <f aca="false">#REF!*L66</f>
        <v>#REF!</v>
      </c>
      <c r="O66" s="10" t="e">
        <f aca="false">#REF!*H66</f>
        <v>#REF!</v>
      </c>
      <c r="P66" s="10" t="e">
        <f aca="false">#REF!*H66</f>
        <v>#REF!</v>
      </c>
      <c r="Q66" s="10" t="e">
        <f aca="false">Q11</f>
        <v>#REF!</v>
      </c>
      <c r="R66" s="10" t="n">
        <v>75.9</v>
      </c>
      <c r="S66" s="22"/>
      <c r="T66" s="22"/>
      <c r="U66" s="22"/>
      <c r="V66" s="22"/>
      <c r="W66" s="22"/>
      <c r="X66" s="22"/>
      <c r="Y66" s="10" t="e">
        <f aca="false">#REF!*E66</f>
        <v>#REF!</v>
      </c>
      <c r="Z66" s="10" t="e">
        <f aca="false">#REF!*D66</f>
        <v>#REF!</v>
      </c>
      <c r="AA66" s="10" t="e">
        <f aca="false">#REF!*E66*10*3</f>
        <v>#REF!</v>
      </c>
      <c r="AB66" s="10" t="e">
        <f aca="false">#REF!*E66*10</f>
        <v>#REF!</v>
      </c>
      <c r="AC66" s="10" t="e">
        <f aca="false">#REF!*D66*5</f>
        <v>#REF!</v>
      </c>
      <c r="AD66" s="10" t="e">
        <f aca="false">#REF!*D66*5</f>
        <v>#REF!</v>
      </c>
      <c r="AE66" s="10" t="e">
        <f aca="false">SUM(M66:AD66)</f>
        <v>#REF!</v>
      </c>
      <c r="AF66" s="14" t="n">
        <v>45225</v>
      </c>
      <c r="AG66" s="14" t="n">
        <v>45216</v>
      </c>
      <c r="AH66" s="14" t="n">
        <v>45264</v>
      </c>
      <c r="AI66" s="15"/>
      <c r="AJ66" s="15"/>
      <c r="AK66" s="7"/>
      <c r="AL66" s="7"/>
      <c r="AM66" s="15"/>
      <c r="AN66" s="15" t="n">
        <v>3</v>
      </c>
      <c r="AO66" s="15" t="s">
        <v>66</v>
      </c>
      <c r="AP66" s="15"/>
      <c r="AQ66" s="15"/>
    </row>
    <row r="67" customFormat="false" ht="15.75" hidden="false" customHeight="false" outlineLevel="0" collapsed="false">
      <c r="A67" s="8" t="s">
        <v>297</v>
      </c>
      <c r="B67" s="8" t="s">
        <v>298</v>
      </c>
      <c r="C67" s="17" t="s">
        <v>299</v>
      </c>
      <c r="D67" s="8"/>
      <c r="E67" s="8"/>
      <c r="F67" s="22"/>
      <c r="G67" s="22"/>
      <c r="H67" s="8" t="s">
        <v>257</v>
      </c>
      <c r="I67" s="11" t="n">
        <v>1</v>
      </c>
      <c r="J67" s="10" t="e">
        <f aca="false">+I67*#REF!</f>
        <v>#REF!</v>
      </c>
      <c r="K67" s="8"/>
      <c r="L67" s="13" t="n">
        <v>3</v>
      </c>
      <c r="M67" s="10" t="e">
        <f aca="false">#REF!*L67</f>
        <v>#REF!</v>
      </c>
      <c r="N67" s="10" t="e">
        <f aca="false">#REF!*L67</f>
        <v>#REF!</v>
      </c>
      <c r="O67" s="10" t="e">
        <f aca="false">#REF!*H67</f>
        <v>#REF!</v>
      </c>
      <c r="P67" s="10" t="e">
        <f aca="false">#REF!*H67</f>
        <v>#REF!</v>
      </c>
      <c r="Q67" s="10" t="e">
        <f aca="false">Q12</f>
        <v>#REF!</v>
      </c>
      <c r="R67" s="10" t="n">
        <v>75.9</v>
      </c>
      <c r="S67" s="22"/>
      <c r="T67" s="22"/>
      <c r="U67" s="22"/>
      <c r="V67" s="22"/>
      <c r="W67" s="22"/>
      <c r="X67" s="22"/>
      <c r="Y67" s="10" t="e">
        <f aca="false">#REF!*E67</f>
        <v>#REF!</v>
      </c>
      <c r="Z67" s="10" t="e">
        <f aca="false">#REF!*D67</f>
        <v>#REF!</v>
      </c>
      <c r="AA67" s="10" t="e">
        <f aca="false">#REF!*E67*10*3</f>
        <v>#REF!</v>
      </c>
      <c r="AB67" s="10" t="e">
        <f aca="false">#REF!*E67*10</f>
        <v>#REF!</v>
      </c>
      <c r="AC67" s="10" t="e">
        <f aca="false">#REF!*D67*5</f>
        <v>#REF!</v>
      </c>
      <c r="AD67" s="10" t="e">
        <f aca="false">#REF!*D67*5</f>
        <v>#REF!</v>
      </c>
      <c r="AE67" s="10" t="e">
        <f aca="false">SUM(M67:AD67)</f>
        <v>#REF!</v>
      </c>
      <c r="AF67" s="14" t="n">
        <v>45225</v>
      </c>
      <c r="AG67" s="14" t="n">
        <v>45216</v>
      </c>
      <c r="AH67" s="14" t="n">
        <v>45264</v>
      </c>
      <c r="AI67" s="15"/>
      <c r="AJ67" s="15"/>
      <c r="AK67" s="7"/>
      <c r="AL67" s="7"/>
      <c r="AM67" s="15"/>
      <c r="AN67" s="15" t="n">
        <v>3</v>
      </c>
      <c r="AO67" s="15" t="s">
        <v>66</v>
      </c>
      <c r="AP67" s="15"/>
      <c r="AQ67" s="15"/>
    </row>
    <row r="68" customFormat="false" ht="15.75" hidden="false" customHeight="false" outlineLevel="0" collapsed="false">
      <c r="A68" s="8" t="s">
        <v>300</v>
      </c>
      <c r="B68" s="8" t="s">
        <v>301</v>
      </c>
      <c r="C68" s="17" t="s">
        <v>302</v>
      </c>
      <c r="D68" s="8"/>
      <c r="E68" s="8"/>
      <c r="F68" s="10" t="e">
        <f aca="false">#REF!</f>
        <v>#REF!</v>
      </c>
      <c r="G68" s="10" t="e">
        <f aca="false">#REF!</f>
        <v>#REF!</v>
      </c>
      <c r="H68" s="8" t="s">
        <v>257</v>
      </c>
      <c r="I68" s="11" t="n">
        <v>1</v>
      </c>
      <c r="J68" s="10" t="e">
        <f aca="false">+I68*#REF!</f>
        <v>#REF!</v>
      </c>
      <c r="K68" s="8"/>
      <c r="L68" s="13" t="n">
        <v>4</v>
      </c>
      <c r="M68" s="10" t="e">
        <f aca="false">#REF!*L68</f>
        <v>#REF!</v>
      </c>
      <c r="N68" s="10" t="e">
        <f aca="false">#REF!*L68</f>
        <v>#REF!</v>
      </c>
      <c r="O68" s="10" t="e">
        <f aca="false">#REF!*H68</f>
        <v>#REF!</v>
      </c>
      <c r="P68" s="10" t="e">
        <f aca="false">#REF!*H68</f>
        <v>#REF!</v>
      </c>
      <c r="Q68" s="10" t="e">
        <f aca="false">Q13</f>
        <v>#REF!</v>
      </c>
      <c r="R68" s="10" t="n">
        <v>75.9</v>
      </c>
      <c r="S68" s="10" t="e">
        <f aca="false">#REF!</f>
        <v>#REF!</v>
      </c>
      <c r="T68" s="10" t="e">
        <f aca="false">#REF!</f>
        <v>#REF!</v>
      </c>
      <c r="U68" s="10" t="e">
        <f aca="false">#REF!</f>
        <v>#REF!</v>
      </c>
      <c r="V68" s="10" t="e">
        <f aca="false">#REF!</f>
        <v>#REF!</v>
      </c>
      <c r="W68" s="10" t="e">
        <f aca="false">#REF!</f>
        <v>#REF!</v>
      </c>
      <c r="X68" s="10" t="e">
        <f aca="false">#REF!</f>
        <v>#REF!</v>
      </c>
      <c r="Y68" s="10" t="e">
        <f aca="false">#REF!*E68</f>
        <v>#REF!</v>
      </c>
      <c r="Z68" s="10" t="e">
        <f aca="false">#REF!*D68</f>
        <v>#REF!</v>
      </c>
      <c r="AA68" s="10" t="e">
        <f aca="false">#REF!*E68*10*3</f>
        <v>#REF!</v>
      </c>
      <c r="AB68" s="10" t="e">
        <f aca="false">#REF!*E68*10</f>
        <v>#REF!</v>
      </c>
      <c r="AC68" s="10" t="e">
        <f aca="false">#REF!*D68*5</f>
        <v>#REF!</v>
      </c>
      <c r="AD68" s="10" t="e">
        <f aca="false">#REF!*D68*5</f>
        <v>#REF!</v>
      </c>
      <c r="AE68" s="10" t="e">
        <f aca="false">SUM(M68:AD68)</f>
        <v>#REF!</v>
      </c>
      <c r="AF68" s="14" t="n">
        <v>45226</v>
      </c>
      <c r="AG68" s="14" t="n">
        <v>45216</v>
      </c>
      <c r="AH68" s="14" t="n">
        <v>45232</v>
      </c>
      <c r="AI68" s="15"/>
      <c r="AJ68" s="15"/>
      <c r="AK68" s="7"/>
      <c r="AL68" s="7"/>
      <c r="AM68" s="15"/>
      <c r="AN68" s="15" t="n">
        <v>4</v>
      </c>
      <c r="AO68" s="26" t="s">
        <v>88</v>
      </c>
      <c r="AP68" s="19" t="s">
        <v>89</v>
      </c>
      <c r="AQ68" s="15"/>
    </row>
    <row r="69" customFormat="false" ht="15.75" hidden="false" customHeight="false" outlineLevel="0" collapsed="false">
      <c r="A69" s="8" t="s">
        <v>303</v>
      </c>
      <c r="B69" s="8" t="s">
        <v>304</v>
      </c>
      <c r="C69" s="17" t="s">
        <v>305</v>
      </c>
      <c r="D69" s="8"/>
      <c r="E69" s="8"/>
      <c r="F69" s="10" t="e">
        <f aca="false">#REF!</f>
        <v>#REF!</v>
      </c>
      <c r="G69" s="10" t="e">
        <f aca="false">#REF!</f>
        <v>#REF!</v>
      </c>
      <c r="H69" s="8" t="s">
        <v>257</v>
      </c>
      <c r="I69" s="11" t="n">
        <v>1</v>
      </c>
      <c r="J69" s="10" t="e">
        <f aca="false">+I69*#REF!</f>
        <v>#REF!</v>
      </c>
      <c r="K69" s="8"/>
      <c r="L69" s="13" t="n">
        <v>3</v>
      </c>
      <c r="M69" s="10" t="e">
        <f aca="false">#REF!*L69</f>
        <v>#REF!</v>
      </c>
      <c r="N69" s="10" t="e">
        <f aca="false">#REF!*L69</f>
        <v>#REF!</v>
      </c>
      <c r="O69" s="10" t="e">
        <f aca="false">#REF!*H69</f>
        <v>#REF!</v>
      </c>
      <c r="P69" s="10" t="e">
        <f aca="false">#REF!*H69</f>
        <v>#REF!</v>
      </c>
      <c r="Q69" s="10" t="e">
        <f aca="false">Q14</f>
        <v>#REF!</v>
      </c>
      <c r="R69" s="10" t="n">
        <v>75.9</v>
      </c>
      <c r="S69" s="10" t="e">
        <f aca="false">#REF!</f>
        <v>#REF!</v>
      </c>
      <c r="T69" s="10" t="e">
        <f aca="false">#REF!</f>
        <v>#REF!</v>
      </c>
      <c r="U69" s="10" t="e">
        <f aca="false">#REF!</f>
        <v>#REF!</v>
      </c>
      <c r="V69" s="10" t="e">
        <f aca="false">#REF!</f>
        <v>#REF!</v>
      </c>
      <c r="W69" s="10" t="e">
        <f aca="false">#REF!</f>
        <v>#REF!</v>
      </c>
      <c r="X69" s="10" t="e">
        <f aca="false">#REF!</f>
        <v>#REF!</v>
      </c>
      <c r="Y69" s="10" t="e">
        <f aca="false">#REF!*E69</f>
        <v>#REF!</v>
      </c>
      <c r="Z69" s="10" t="e">
        <f aca="false">#REF!*D69</f>
        <v>#REF!</v>
      </c>
      <c r="AA69" s="10" t="e">
        <f aca="false">#REF!*E69*10*3</f>
        <v>#REF!</v>
      </c>
      <c r="AB69" s="10" t="e">
        <f aca="false">#REF!*E69*10</f>
        <v>#REF!</v>
      </c>
      <c r="AC69" s="10" t="e">
        <f aca="false">#REF!*D69*5</f>
        <v>#REF!</v>
      </c>
      <c r="AD69" s="10" t="e">
        <f aca="false">#REF!*D69*5</f>
        <v>#REF!</v>
      </c>
      <c r="AE69" s="10" t="e">
        <f aca="false">SUM(M69:AD69)</f>
        <v>#REF!</v>
      </c>
      <c r="AF69" s="14" t="n">
        <v>45225</v>
      </c>
      <c r="AG69" s="14" t="n">
        <v>45216</v>
      </c>
      <c r="AH69" s="14" t="n">
        <v>45232</v>
      </c>
      <c r="AI69" s="15"/>
      <c r="AJ69" s="15"/>
      <c r="AK69" s="7"/>
      <c r="AL69" s="7"/>
      <c r="AM69" s="15"/>
      <c r="AN69" s="15" t="n">
        <v>3</v>
      </c>
      <c r="AO69" s="26" t="s">
        <v>88</v>
      </c>
      <c r="AP69" s="19" t="s">
        <v>89</v>
      </c>
      <c r="AQ69" s="15"/>
    </row>
    <row r="70" customFormat="false" ht="15.75" hidden="false" customHeight="false" outlineLevel="0" collapsed="false">
      <c r="A70" s="8" t="s">
        <v>306</v>
      </c>
      <c r="B70" s="8" t="s">
        <v>307</v>
      </c>
      <c r="C70" s="17" t="s">
        <v>308</v>
      </c>
      <c r="D70" s="8" t="s">
        <v>309</v>
      </c>
      <c r="E70" s="8"/>
      <c r="F70" s="22"/>
      <c r="G70" s="22"/>
      <c r="H70" s="8" t="s">
        <v>257</v>
      </c>
      <c r="I70" s="11" t="n">
        <v>1</v>
      </c>
      <c r="J70" s="10" t="e">
        <f aca="false">+I70*#REF!</f>
        <v>#REF!</v>
      </c>
      <c r="K70" s="23" t="s">
        <v>310</v>
      </c>
      <c r="L70" s="13" t="n">
        <v>4</v>
      </c>
      <c r="M70" s="10" t="e">
        <f aca="false">#REF!*L70</f>
        <v>#REF!</v>
      </c>
      <c r="N70" s="10" t="e">
        <f aca="false">#REF!*L70</f>
        <v>#REF!</v>
      </c>
      <c r="O70" s="10" t="e">
        <f aca="false">#REF!*H70</f>
        <v>#REF!</v>
      </c>
      <c r="P70" s="10" t="e">
        <f aca="false">#REF!*H70</f>
        <v>#REF!</v>
      </c>
      <c r="Q70" s="10" t="e">
        <f aca="false">Q15</f>
        <v>#REF!</v>
      </c>
      <c r="R70" s="10" t="n">
        <v>75.9</v>
      </c>
      <c r="S70" s="22"/>
      <c r="T70" s="22"/>
      <c r="U70" s="22"/>
      <c r="V70" s="22"/>
      <c r="W70" s="22"/>
      <c r="X70" s="22"/>
      <c r="Y70" s="10" t="e">
        <f aca="false">#REF!*E70</f>
        <v>#REF!</v>
      </c>
      <c r="Z70" s="10" t="e">
        <f aca="false">#REF!*D70</f>
        <v>#REF!</v>
      </c>
      <c r="AA70" s="10" t="e">
        <f aca="false">#REF!*E70*10*3</f>
        <v>#REF!</v>
      </c>
      <c r="AB70" s="10" t="e">
        <f aca="false">#REF!*E70*10</f>
        <v>#REF!</v>
      </c>
      <c r="AC70" s="10" t="e">
        <f aca="false">#REF!*D70*5</f>
        <v>#REF!</v>
      </c>
      <c r="AD70" s="10" t="e">
        <f aca="false">#REF!*D70*5</f>
        <v>#REF!</v>
      </c>
      <c r="AE70" s="10" t="e">
        <f aca="false">SUM(M70:AD70)</f>
        <v>#REF!</v>
      </c>
      <c r="AF70" s="14" t="n">
        <v>45300</v>
      </c>
      <c r="AG70" s="14" t="n">
        <v>45218</v>
      </c>
      <c r="AH70" s="14" t="n">
        <v>45301</v>
      </c>
      <c r="AI70" s="15"/>
      <c r="AJ70" s="15"/>
      <c r="AK70" s="21" t="s">
        <v>311</v>
      </c>
      <c r="AL70" s="7"/>
      <c r="AM70" s="15"/>
      <c r="AN70" s="15" t="n">
        <v>4</v>
      </c>
      <c r="AO70" s="15" t="s">
        <v>66</v>
      </c>
      <c r="AP70" s="15"/>
      <c r="AQ70" s="15"/>
    </row>
    <row r="71" customFormat="false" ht="15.75" hidden="false" customHeight="false" outlineLevel="0" collapsed="false">
      <c r="A71" s="8" t="s">
        <v>312</v>
      </c>
      <c r="B71" s="8" t="s">
        <v>313</v>
      </c>
      <c r="C71" s="9" t="s">
        <v>314</v>
      </c>
      <c r="D71" s="8"/>
      <c r="E71" s="8"/>
      <c r="F71" s="22"/>
      <c r="G71" s="22"/>
      <c r="H71" s="8" t="s">
        <v>257</v>
      </c>
      <c r="I71" s="11" t="n">
        <v>1</v>
      </c>
      <c r="J71" s="10" t="e">
        <f aca="false">+I71*#REF!</f>
        <v>#REF!</v>
      </c>
      <c r="K71" s="8" t="s">
        <v>315</v>
      </c>
      <c r="L71" s="13" t="n">
        <v>4</v>
      </c>
      <c r="M71" s="10" t="e">
        <f aca="false">#REF!*L71</f>
        <v>#REF!</v>
      </c>
      <c r="N71" s="10" t="e">
        <f aca="false">#REF!*L71</f>
        <v>#REF!</v>
      </c>
      <c r="O71" s="10" t="e">
        <f aca="false">#REF!*H71</f>
        <v>#REF!</v>
      </c>
      <c r="P71" s="10" t="e">
        <f aca="false">#REF!*H71</f>
        <v>#REF!</v>
      </c>
      <c r="Q71" s="10" t="e">
        <f aca="false">Q16</f>
        <v>#REF!</v>
      </c>
      <c r="R71" s="10" t="n">
        <v>75.9</v>
      </c>
      <c r="S71" s="22"/>
      <c r="T71" s="22"/>
      <c r="U71" s="22"/>
      <c r="V71" s="22"/>
      <c r="W71" s="22"/>
      <c r="X71" s="22"/>
      <c r="Y71" s="10" t="e">
        <f aca="false">#REF!*E71</f>
        <v>#REF!</v>
      </c>
      <c r="Z71" s="10" t="e">
        <f aca="false">#REF!*D71</f>
        <v>#REF!</v>
      </c>
      <c r="AA71" s="10" t="e">
        <f aca="false">#REF!*E71*10*3</f>
        <v>#REF!</v>
      </c>
      <c r="AB71" s="10" t="e">
        <f aca="false">#REF!*E71*10</f>
        <v>#REF!</v>
      </c>
      <c r="AC71" s="10" t="e">
        <f aca="false">#REF!*D71*5</f>
        <v>#REF!</v>
      </c>
      <c r="AD71" s="10" t="e">
        <f aca="false">#REF!*D71*5</f>
        <v>#REF!</v>
      </c>
      <c r="AE71" s="10" t="e">
        <f aca="false">SUM(M71:AD71)</f>
        <v>#REF!</v>
      </c>
      <c r="AF71" s="20" t="s">
        <v>316</v>
      </c>
      <c r="AG71" s="27"/>
      <c r="AH71" s="27"/>
      <c r="AI71" s="27"/>
      <c r="AJ71" s="27"/>
      <c r="AK71" s="8" t="s">
        <v>317</v>
      </c>
      <c r="AL71" s="7"/>
      <c r="AM71" s="15"/>
      <c r="AN71" s="15"/>
      <c r="AO71" s="15" t="s">
        <v>66</v>
      </c>
      <c r="AP71" s="15"/>
      <c r="AQ71" s="15"/>
    </row>
    <row r="72" customFormat="false" ht="15.75" hidden="false" customHeight="false" outlineLevel="0" collapsed="false">
      <c r="A72" s="8" t="s">
        <v>318</v>
      </c>
      <c r="B72" s="8" t="s">
        <v>319</v>
      </c>
      <c r="C72" s="9" t="s">
        <v>320</v>
      </c>
      <c r="D72" s="8"/>
      <c r="E72" s="8"/>
      <c r="F72" s="22"/>
      <c r="G72" s="22"/>
      <c r="H72" s="8" t="s">
        <v>257</v>
      </c>
      <c r="I72" s="11" t="n">
        <v>1</v>
      </c>
      <c r="J72" s="10" t="e">
        <f aca="false">+I72*#REF!</f>
        <v>#REF!</v>
      </c>
      <c r="K72" s="8" t="s">
        <v>321</v>
      </c>
      <c r="L72" s="13" t="n">
        <v>3</v>
      </c>
      <c r="M72" s="10" t="e">
        <f aca="false">#REF!*L72</f>
        <v>#REF!</v>
      </c>
      <c r="N72" s="10" t="e">
        <f aca="false">#REF!*L72</f>
        <v>#REF!</v>
      </c>
      <c r="O72" s="10" t="e">
        <f aca="false">#REF!*H72</f>
        <v>#REF!</v>
      </c>
      <c r="P72" s="10" t="e">
        <f aca="false">#REF!*H72</f>
        <v>#REF!</v>
      </c>
      <c r="Q72" s="10" t="e">
        <f aca="false">Q17</f>
        <v>#REF!</v>
      </c>
      <c r="R72" s="10" t="n">
        <v>75.9</v>
      </c>
      <c r="S72" s="22"/>
      <c r="T72" s="22"/>
      <c r="U72" s="22"/>
      <c r="V72" s="22"/>
      <c r="W72" s="22"/>
      <c r="X72" s="22"/>
      <c r="Y72" s="10" t="e">
        <f aca="false">#REF!*E72</f>
        <v>#REF!</v>
      </c>
      <c r="Z72" s="10" t="e">
        <f aca="false">#REF!*D72</f>
        <v>#REF!</v>
      </c>
      <c r="AA72" s="10" t="e">
        <f aca="false">#REF!*E72*10*3</f>
        <v>#REF!</v>
      </c>
      <c r="AB72" s="10" t="e">
        <f aca="false">#REF!*E72*10</f>
        <v>#REF!</v>
      </c>
      <c r="AC72" s="10" t="e">
        <f aca="false">#REF!*D72*5</f>
        <v>#REF!</v>
      </c>
      <c r="AD72" s="10" t="e">
        <f aca="false">#REF!*D72*5</f>
        <v>#REF!</v>
      </c>
      <c r="AE72" s="10" t="e">
        <f aca="false">SUM(M72:AD72)</f>
        <v>#REF!</v>
      </c>
      <c r="AF72" s="14" t="n">
        <v>45279</v>
      </c>
      <c r="AG72" s="14" t="n">
        <v>45218</v>
      </c>
      <c r="AH72" s="15"/>
      <c r="AI72" s="15" t="s">
        <v>45</v>
      </c>
      <c r="AJ72" s="15"/>
      <c r="AK72" s="7" t="s">
        <v>322</v>
      </c>
      <c r="AL72" s="7" t="n">
        <v>3</v>
      </c>
      <c r="AM72" s="15"/>
      <c r="AN72" s="15"/>
      <c r="AO72" s="15" t="s">
        <v>66</v>
      </c>
      <c r="AP72" s="15"/>
      <c r="AQ72" s="15"/>
    </row>
    <row r="73" customFormat="false" ht="15.75" hidden="false" customHeight="false" outlineLevel="0" collapsed="false">
      <c r="A73" s="8" t="s">
        <v>323</v>
      </c>
      <c r="B73" s="8" t="s">
        <v>324</v>
      </c>
      <c r="C73" s="17" t="s">
        <v>325</v>
      </c>
      <c r="D73" s="8"/>
      <c r="E73" s="8" t="s">
        <v>326</v>
      </c>
      <c r="F73" s="22"/>
      <c r="G73" s="22"/>
      <c r="H73" s="8" t="s">
        <v>257</v>
      </c>
      <c r="I73" s="11" t="n">
        <v>1</v>
      </c>
      <c r="J73" s="10" t="e">
        <f aca="false">+I73*#REF!</f>
        <v>#REF!</v>
      </c>
      <c r="K73" s="8" t="s">
        <v>327</v>
      </c>
      <c r="L73" s="13" t="n">
        <v>4</v>
      </c>
      <c r="M73" s="10" t="e">
        <f aca="false">#REF!*L73</f>
        <v>#REF!</v>
      </c>
      <c r="N73" s="10" t="e">
        <f aca="false">#REF!*L73</f>
        <v>#REF!</v>
      </c>
      <c r="O73" s="10" t="e">
        <f aca="false">#REF!*H73</f>
        <v>#REF!</v>
      </c>
      <c r="P73" s="10" t="e">
        <f aca="false">#REF!*H73</f>
        <v>#REF!</v>
      </c>
      <c r="Q73" s="10" t="e">
        <f aca="false">Q18</f>
        <v>#REF!</v>
      </c>
      <c r="R73" s="10" t="n">
        <v>75.9</v>
      </c>
      <c r="S73" s="22"/>
      <c r="T73" s="22"/>
      <c r="U73" s="22"/>
      <c r="V73" s="22"/>
      <c r="W73" s="22"/>
      <c r="X73" s="22"/>
      <c r="Y73" s="10" t="e">
        <f aca="false">#REF!*E73</f>
        <v>#REF!</v>
      </c>
      <c r="Z73" s="10" t="e">
        <f aca="false">#REF!*D73</f>
        <v>#REF!</v>
      </c>
      <c r="AA73" s="10" t="e">
        <f aca="false">#REF!*E73*10*3</f>
        <v>#REF!</v>
      </c>
      <c r="AB73" s="10" t="e">
        <f aca="false">#REF!*E73*10</f>
        <v>#REF!</v>
      </c>
      <c r="AC73" s="10" t="e">
        <f aca="false">#REF!*D73*5</f>
        <v>#REF!</v>
      </c>
      <c r="AD73" s="10" t="e">
        <f aca="false">#REF!*D73*5</f>
        <v>#REF!</v>
      </c>
      <c r="AE73" s="10" t="e">
        <f aca="false">SUM(M73:AD73)</f>
        <v>#REF!</v>
      </c>
      <c r="AF73" s="14" t="n">
        <v>45272</v>
      </c>
      <c r="AG73" s="14" t="n">
        <v>45218</v>
      </c>
      <c r="AH73" s="14" t="n">
        <v>45273</v>
      </c>
      <c r="AI73" s="15"/>
      <c r="AJ73" s="15"/>
      <c r="AK73" s="7" t="s">
        <v>328</v>
      </c>
      <c r="AL73" s="7"/>
      <c r="AM73" s="15"/>
      <c r="AN73" s="15" t="n">
        <v>4</v>
      </c>
      <c r="AO73" s="15" t="s">
        <v>66</v>
      </c>
      <c r="AP73" s="15"/>
      <c r="AQ73" s="15"/>
    </row>
    <row r="74" customFormat="false" ht="15.75" hidden="false" customHeight="false" outlineLevel="0" collapsed="false">
      <c r="A74" s="8" t="s">
        <v>329</v>
      </c>
      <c r="B74" s="8" t="s">
        <v>330</v>
      </c>
      <c r="C74" s="9" t="s">
        <v>331</v>
      </c>
      <c r="D74" s="8" t="s">
        <v>275</v>
      </c>
      <c r="E74" s="8"/>
      <c r="F74" s="22"/>
      <c r="G74" s="22"/>
      <c r="H74" s="8" t="s">
        <v>257</v>
      </c>
      <c r="I74" s="11" t="n">
        <v>1</v>
      </c>
      <c r="J74" s="10" t="e">
        <f aca="false">+I74*#REF!</f>
        <v>#REF!</v>
      </c>
      <c r="K74" s="8" t="s">
        <v>332</v>
      </c>
      <c r="L74" s="13" t="n">
        <v>3</v>
      </c>
      <c r="M74" s="10" t="e">
        <f aca="false">#REF!*L74</f>
        <v>#REF!</v>
      </c>
      <c r="N74" s="10" t="e">
        <f aca="false">#REF!*L74</f>
        <v>#REF!</v>
      </c>
      <c r="O74" s="10" t="e">
        <f aca="false">#REF!*H74</f>
        <v>#REF!</v>
      </c>
      <c r="P74" s="10" t="e">
        <f aca="false">#REF!*H74</f>
        <v>#REF!</v>
      </c>
      <c r="Q74" s="10" t="e">
        <f aca="false">Q19</f>
        <v>#REF!</v>
      </c>
      <c r="R74" s="10" t="n">
        <v>75.9</v>
      </c>
      <c r="S74" s="22"/>
      <c r="T74" s="22"/>
      <c r="U74" s="22"/>
      <c r="V74" s="22"/>
      <c r="W74" s="22"/>
      <c r="X74" s="22"/>
      <c r="Y74" s="10" t="e">
        <f aca="false">#REF!*E74</f>
        <v>#REF!</v>
      </c>
      <c r="Z74" s="10" t="e">
        <f aca="false">#REF!*D74</f>
        <v>#REF!</v>
      </c>
      <c r="AA74" s="10" t="e">
        <f aca="false">#REF!*E74*10*3</f>
        <v>#REF!</v>
      </c>
      <c r="AB74" s="10" t="e">
        <f aca="false">#REF!*E74*10</f>
        <v>#REF!</v>
      </c>
      <c r="AC74" s="10" t="e">
        <f aca="false">#REF!*D74*5</f>
        <v>#REF!</v>
      </c>
      <c r="AD74" s="10" t="e">
        <f aca="false">#REF!*D74*5</f>
        <v>#REF!</v>
      </c>
      <c r="AE74" s="10" t="e">
        <f aca="false">SUM(M74:AD74)</f>
        <v>#REF!</v>
      </c>
      <c r="AF74" s="14" t="n">
        <v>45279</v>
      </c>
      <c r="AG74" s="14" t="n">
        <v>45218</v>
      </c>
      <c r="AH74" s="14" t="n">
        <v>45278</v>
      </c>
      <c r="AI74" s="15" t="s">
        <v>45</v>
      </c>
      <c r="AJ74" s="15"/>
      <c r="AK74" s="7" t="s">
        <v>333</v>
      </c>
      <c r="AL74" s="7" t="s">
        <v>334</v>
      </c>
      <c r="AM74" s="15" t="n">
        <v>2</v>
      </c>
      <c r="AN74" s="15"/>
      <c r="AO74" s="15" t="s">
        <v>66</v>
      </c>
      <c r="AP74" s="15"/>
      <c r="AQ74" s="15"/>
    </row>
    <row r="75" customFormat="false" ht="15.75" hidden="false" customHeight="false" outlineLevel="0" collapsed="false">
      <c r="A75" s="8" t="s">
        <v>335</v>
      </c>
      <c r="B75" s="8" t="s">
        <v>336</v>
      </c>
      <c r="C75" s="9" t="s">
        <v>337</v>
      </c>
      <c r="D75" s="8" t="s">
        <v>275</v>
      </c>
      <c r="E75" s="8"/>
      <c r="F75" s="22"/>
      <c r="G75" s="22"/>
      <c r="H75" s="8" t="s">
        <v>257</v>
      </c>
      <c r="I75" s="11" t="n">
        <v>1</v>
      </c>
      <c r="J75" s="10" t="e">
        <f aca="false">+I75*#REF!</f>
        <v>#REF!</v>
      </c>
      <c r="K75" s="8" t="s">
        <v>338</v>
      </c>
      <c r="L75" s="13" t="n">
        <v>3</v>
      </c>
      <c r="M75" s="10" t="e">
        <f aca="false">#REF!*L75</f>
        <v>#REF!</v>
      </c>
      <c r="N75" s="10" t="e">
        <f aca="false">#REF!*L75</f>
        <v>#REF!</v>
      </c>
      <c r="O75" s="10" t="e">
        <f aca="false">#REF!*H75</f>
        <v>#REF!</v>
      </c>
      <c r="P75" s="10" t="e">
        <f aca="false">#REF!*H75</f>
        <v>#REF!</v>
      </c>
      <c r="Q75" s="10" t="e">
        <f aca="false">Q20</f>
        <v>#REF!</v>
      </c>
      <c r="R75" s="10" t="n">
        <v>75.9</v>
      </c>
      <c r="S75" s="22"/>
      <c r="T75" s="22"/>
      <c r="U75" s="22"/>
      <c r="V75" s="22"/>
      <c r="W75" s="22"/>
      <c r="X75" s="22"/>
      <c r="Y75" s="10" t="e">
        <f aca="false">#REF!*E75</f>
        <v>#REF!</v>
      </c>
      <c r="Z75" s="10" t="e">
        <f aca="false">#REF!*D75</f>
        <v>#REF!</v>
      </c>
      <c r="AA75" s="10" t="e">
        <f aca="false">#REF!*E75*10*3</f>
        <v>#REF!</v>
      </c>
      <c r="AB75" s="10" t="e">
        <f aca="false">#REF!*E75*10</f>
        <v>#REF!</v>
      </c>
      <c r="AC75" s="10" t="e">
        <f aca="false">#REF!*D75*5</f>
        <v>#REF!</v>
      </c>
      <c r="AD75" s="10" t="e">
        <f aca="false">#REF!*D75*5</f>
        <v>#REF!</v>
      </c>
      <c r="AE75" s="10" t="e">
        <f aca="false">SUM(M75:AD75)</f>
        <v>#REF!</v>
      </c>
      <c r="AF75" s="15"/>
      <c r="AG75" s="15"/>
      <c r="AH75" s="15"/>
      <c r="AI75" s="15"/>
      <c r="AJ75" s="15"/>
      <c r="AK75" s="7" t="s">
        <v>339</v>
      </c>
      <c r="AL75" s="7"/>
      <c r="AM75" s="15"/>
      <c r="AN75" s="15"/>
      <c r="AO75" s="15" t="s">
        <v>66</v>
      </c>
      <c r="AP75" s="15"/>
      <c r="AQ75" s="15"/>
    </row>
    <row r="76" customFormat="false" ht="15.75" hidden="false" customHeight="false" outlineLevel="0" collapsed="false">
      <c r="A76" s="8" t="s">
        <v>340</v>
      </c>
      <c r="B76" s="8" t="s">
        <v>341</v>
      </c>
      <c r="C76" s="17" t="s">
        <v>342</v>
      </c>
      <c r="D76" s="8"/>
      <c r="E76" s="8"/>
      <c r="F76" s="10" t="e">
        <f aca="false">#REF!</f>
        <v>#REF!</v>
      </c>
      <c r="G76" s="10" t="e">
        <f aca="false">#REF!</f>
        <v>#REF!</v>
      </c>
      <c r="H76" s="8" t="s">
        <v>257</v>
      </c>
      <c r="I76" s="11" t="n">
        <v>1</v>
      </c>
      <c r="J76" s="10" t="e">
        <f aca="false">+I76*#REF!</f>
        <v>#REF!</v>
      </c>
      <c r="K76" s="8" t="s">
        <v>343</v>
      </c>
      <c r="L76" s="13" t="n">
        <v>3</v>
      </c>
      <c r="M76" s="10" t="e">
        <f aca="false">#REF!*L76</f>
        <v>#REF!</v>
      </c>
      <c r="N76" s="10" t="e">
        <f aca="false">#REF!*L76</f>
        <v>#REF!</v>
      </c>
      <c r="O76" s="10" t="e">
        <f aca="false">#REF!*H76</f>
        <v>#REF!</v>
      </c>
      <c r="P76" s="10" t="e">
        <f aca="false">#REF!*H76</f>
        <v>#REF!</v>
      </c>
      <c r="Q76" s="10" t="e">
        <f aca="false">Q21</f>
        <v>#REF!</v>
      </c>
      <c r="R76" s="10" t="n">
        <v>75.9</v>
      </c>
      <c r="S76" s="10" t="e">
        <f aca="false">#REF!</f>
        <v>#REF!</v>
      </c>
      <c r="T76" s="10" t="e">
        <f aca="false">#REF!</f>
        <v>#REF!</v>
      </c>
      <c r="U76" s="10" t="e">
        <f aca="false">#REF!</f>
        <v>#REF!</v>
      </c>
      <c r="V76" s="10" t="e">
        <f aca="false">#REF!</f>
        <v>#REF!</v>
      </c>
      <c r="W76" s="10" t="e">
        <f aca="false">#REF!</f>
        <v>#REF!</v>
      </c>
      <c r="X76" s="10" t="e">
        <f aca="false">#REF!</f>
        <v>#REF!</v>
      </c>
      <c r="Y76" s="10" t="e">
        <f aca="false">#REF!*E76</f>
        <v>#REF!</v>
      </c>
      <c r="Z76" s="10" t="e">
        <f aca="false">#REF!*D76</f>
        <v>#REF!</v>
      </c>
      <c r="AA76" s="10" t="e">
        <f aca="false">#REF!*E76*10*3</f>
        <v>#REF!</v>
      </c>
      <c r="AB76" s="10" t="e">
        <f aca="false">#REF!*E76*10</f>
        <v>#REF!</v>
      </c>
      <c r="AC76" s="10" t="e">
        <f aca="false">#REF!*D76*5</f>
        <v>#REF!</v>
      </c>
      <c r="AD76" s="10" t="e">
        <f aca="false">#REF!*D76*5</f>
        <v>#REF!</v>
      </c>
      <c r="AE76" s="10" t="e">
        <f aca="false">SUM(M76:AD76)</f>
        <v>#REF!</v>
      </c>
      <c r="AF76" s="14" t="n">
        <v>45397</v>
      </c>
      <c r="AG76" s="14" t="n">
        <v>45385</v>
      </c>
      <c r="AH76" s="14" t="n">
        <v>45397</v>
      </c>
      <c r="AI76" s="15"/>
      <c r="AJ76" s="15"/>
      <c r="AK76" s="7" t="s">
        <v>344</v>
      </c>
      <c r="AL76" s="7"/>
      <c r="AM76" s="15"/>
      <c r="AN76" s="15" t="n">
        <v>3</v>
      </c>
      <c r="AO76" s="26" t="s">
        <v>88</v>
      </c>
      <c r="AP76" s="19" t="s">
        <v>89</v>
      </c>
      <c r="AQ76" s="15"/>
    </row>
    <row r="77" customFormat="false" ht="15.75" hidden="false" customHeight="false" outlineLevel="0" collapsed="false">
      <c r="A77" s="8" t="s">
        <v>345</v>
      </c>
      <c r="B77" s="8" t="s">
        <v>346</v>
      </c>
      <c r="C77" s="9" t="s">
        <v>347</v>
      </c>
      <c r="D77" s="15" t="n">
        <v>5</v>
      </c>
      <c r="E77" s="15"/>
      <c r="F77" s="22"/>
      <c r="G77" s="22"/>
      <c r="H77" s="15" t="n">
        <v>150</v>
      </c>
      <c r="I77" s="11" t="n">
        <v>1</v>
      </c>
      <c r="J77" s="10" t="e">
        <f aca="false">+I77*#REF!</f>
        <v>#REF!</v>
      </c>
      <c r="K77" s="7" t="s">
        <v>348</v>
      </c>
      <c r="L77" s="13" t="n">
        <v>4</v>
      </c>
      <c r="M77" s="28" t="e">
        <f aca="false">#REF!*L77</f>
        <v>#REF!</v>
      </c>
      <c r="N77" s="10" t="e">
        <f aca="false">#REF!*L77</f>
        <v>#REF!</v>
      </c>
      <c r="O77" s="10" t="e">
        <f aca="false">#REF!*H77</f>
        <v>#REF!</v>
      </c>
      <c r="P77" s="28" t="e">
        <f aca="false">#REF!*H77</f>
        <v>#REF!</v>
      </c>
      <c r="Q77" s="10" t="e">
        <f aca="false">Q22</f>
        <v>#REF!</v>
      </c>
      <c r="R77" s="10" t="n">
        <v>75.9</v>
      </c>
      <c r="S77" s="22"/>
      <c r="T77" s="22"/>
      <c r="U77" s="22"/>
      <c r="V77" s="22"/>
      <c r="W77" s="22"/>
      <c r="X77" s="22"/>
      <c r="Y77" s="10" t="e">
        <f aca="false">#REF!*E77</f>
        <v>#REF!</v>
      </c>
      <c r="Z77" s="10" t="e">
        <f aca="false">#REF!*D77</f>
        <v>#REF!</v>
      </c>
      <c r="AA77" s="10" t="e">
        <f aca="false">#REF!*E77*10*3</f>
        <v>#REF!</v>
      </c>
      <c r="AB77" s="10" t="e">
        <f aca="false">#REF!*E77*10</f>
        <v>#REF!</v>
      </c>
      <c r="AC77" s="10" t="e">
        <f aca="false">#REF!*D77*5</f>
        <v>#REF!</v>
      </c>
      <c r="AD77" s="10" t="e">
        <f aca="false">#REF!*D77*5</f>
        <v>#REF!</v>
      </c>
      <c r="AE77" s="10" t="e">
        <f aca="false">SUM(M77:AD77)</f>
        <v>#REF!</v>
      </c>
      <c r="AF77" s="15"/>
      <c r="AG77" s="15"/>
      <c r="AH77" s="15"/>
      <c r="AI77" s="15" t="s">
        <v>45</v>
      </c>
      <c r="AJ77" s="15" t="s">
        <v>45</v>
      </c>
      <c r="AK77" s="7" t="s">
        <v>349</v>
      </c>
      <c r="AL77" s="7"/>
      <c r="AM77" s="15"/>
      <c r="AN77" s="15"/>
      <c r="AO77" s="15" t="s">
        <v>66</v>
      </c>
      <c r="AP77" s="15"/>
      <c r="AQ77" s="15"/>
    </row>
    <row r="78" customFormat="false" ht="15.75" hidden="false" customHeight="false" outlineLevel="0" collapsed="false">
      <c r="A78" s="8" t="s">
        <v>350</v>
      </c>
      <c r="B78" s="8" t="s">
        <v>351</v>
      </c>
      <c r="C78" s="9" t="s">
        <v>352</v>
      </c>
      <c r="D78" s="15"/>
      <c r="E78" s="15" t="n">
        <v>10</v>
      </c>
      <c r="F78" s="10" t="e">
        <f aca="false">#REF!</f>
        <v>#REF!</v>
      </c>
      <c r="G78" s="10" t="e">
        <f aca="false">#REF!</f>
        <v>#REF!</v>
      </c>
      <c r="H78" s="15" t="n">
        <v>150</v>
      </c>
      <c r="I78" s="11" t="n">
        <v>1</v>
      </c>
      <c r="J78" s="10" t="e">
        <f aca="false">+I78*#REF!</f>
        <v>#REF!</v>
      </c>
      <c r="K78" s="7" t="s">
        <v>353</v>
      </c>
      <c r="L78" s="13" t="n">
        <v>4</v>
      </c>
      <c r="M78" s="28" t="e">
        <f aca="false">#REF!*L78</f>
        <v>#REF!</v>
      </c>
      <c r="N78" s="10" t="e">
        <f aca="false">#REF!*L78</f>
        <v>#REF!</v>
      </c>
      <c r="O78" s="10" t="e">
        <f aca="false">#REF!*H78</f>
        <v>#REF!</v>
      </c>
      <c r="P78" s="28" t="e">
        <f aca="false">#REF!*H78</f>
        <v>#REF!</v>
      </c>
      <c r="Q78" s="10" t="e">
        <f aca="false">Q23</f>
        <v>#REF!</v>
      </c>
      <c r="R78" s="10" t="n">
        <v>75.9</v>
      </c>
      <c r="S78" s="10" t="e">
        <f aca="false">#REF!</f>
        <v>#REF!</v>
      </c>
      <c r="T78" s="10" t="e">
        <f aca="false">#REF!</f>
        <v>#REF!</v>
      </c>
      <c r="U78" s="10" t="e">
        <f aca="false">#REF!</f>
        <v>#REF!</v>
      </c>
      <c r="V78" s="10" t="e">
        <f aca="false">#REF!</f>
        <v>#REF!</v>
      </c>
      <c r="W78" s="10" t="e">
        <f aca="false">#REF!</f>
        <v>#REF!</v>
      </c>
      <c r="X78" s="10" t="e">
        <f aca="false">#REF!</f>
        <v>#REF!</v>
      </c>
      <c r="Y78" s="10" t="e">
        <f aca="false">#REF!*E78</f>
        <v>#REF!</v>
      </c>
      <c r="Z78" s="10" t="e">
        <f aca="false">#REF!*D78</f>
        <v>#REF!</v>
      </c>
      <c r="AA78" s="10" t="e">
        <f aca="false">#REF!*E78*10*3</f>
        <v>#REF!</v>
      </c>
      <c r="AB78" s="10" t="e">
        <f aca="false">#REF!*E78*10</f>
        <v>#REF!</v>
      </c>
      <c r="AC78" s="10" t="e">
        <f aca="false">#REF!*D78*5</f>
        <v>#REF!</v>
      </c>
      <c r="AD78" s="10" t="e">
        <f aca="false">#REF!*D78*5</f>
        <v>#REF!</v>
      </c>
      <c r="AE78" s="10" t="e">
        <f aca="false">SUM(M78:AD78)</f>
        <v>#REF!</v>
      </c>
      <c r="AF78" s="14" t="n">
        <v>46002</v>
      </c>
      <c r="AG78" s="25" t="n">
        <v>45992</v>
      </c>
      <c r="AH78" s="15"/>
      <c r="AI78" s="15"/>
      <c r="AJ78" s="15"/>
      <c r="AK78" s="7" t="s">
        <v>354</v>
      </c>
      <c r="AL78" s="7" t="n">
        <v>4</v>
      </c>
      <c r="AM78" s="15"/>
      <c r="AN78" s="15"/>
      <c r="AO78" s="26" t="s">
        <v>88</v>
      </c>
      <c r="AP78" s="19" t="s">
        <v>89</v>
      </c>
      <c r="AQ78" s="15"/>
    </row>
    <row r="79" customFormat="false" ht="15.75" hidden="false" customHeight="false" outlineLevel="0" collapsed="false">
      <c r="A79" s="8" t="s">
        <v>355</v>
      </c>
      <c r="B79" s="8" t="s">
        <v>356</v>
      </c>
      <c r="C79" s="9" t="s">
        <v>357</v>
      </c>
      <c r="D79" s="15"/>
      <c r="E79" s="15"/>
      <c r="F79" s="10" t="e">
        <f aca="false">#REF!</f>
        <v>#REF!</v>
      </c>
      <c r="G79" s="10" t="e">
        <f aca="false">#REF!</f>
        <v>#REF!</v>
      </c>
      <c r="H79" s="15" t="n">
        <v>150</v>
      </c>
      <c r="I79" s="11" t="n">
        <v>1</v>
      </c>
      <c r="J79" s="10" t="e">
        <f aca="false">+I79*#REF!</f>
        <v>#REF!</v>
      </c>
      <c r="K79" s="7" t="s">
        <v>358</v>
      </c>
      <c r="L79" s="13" t="n">
        <v>3</v>
      </c>
      <c r="M79" s="28" t="e">
        <f aca="false">#REF!*L79</f>
        <v>#REF!</v>
      </c>
      <c r="N79" s="10" t="e">
        <f aca="false">#REF!*L79</f>
        <v>#REF!</v>
      </c>
      <c r="O79" s="10" t="e">
        <f aca="false">#REF!*H79</f>
        <v>#REF!</v>
      </c>
      <c r="P79" s="28" t="e">
        <f aca="false">#REF!*H79</f>
        <v>#REF!</v>
      </c>
      <c r="Q79" s="10" t="e">
        <f aca="false">Q24</f>
        <v>#REF!</v>
      </c>
      <c r="R79" s="10" t="n">
        <v>75.9</v>
      </c>
      <c r="S79" s="10" t="e">
        <f aca="false">#REF!</f>
        <v>#REF!</v>
      </c>
      <c r="T79" s="10" t="e">
        <f aca="false">#REF!</f>
        <v>#REF!</v>
      </c>
      <c r="U79" s="10" t="e">
        <f aca="false">#REF!</f>
        <v>#REF!</v>
      </c>
      <c r="V79" s="10" t="e">
        <f aca="false">#REF!</f>
        <v>#REF!</v>
      </c>
      <c r="W79" s="10" t="e">
        <f aca="false">#REF!</f>
        <v>#REF!</v>
      </c>
      <c r="X79" s="10" t="e">
        <f aca="false">#REF!</f>
        <v>#REF!</v>
      </c>
      <c r="Y79" s="10" t="e">
        <f aca="false">#REF!*E79</f>
        <v>#REF!</v>
      </c>
      <c r="Z79" s="10" t="e">
        <f aca="false">#REF!*D79</f>
        <v>#REF!</v>
      </c>
      <c r="AA79" s="10" t="e">
        <f aca="false">#REF!*E79*10*3</f>
        <v>#REF!</v>
      </c>
      <c r="AB79" s="10" t="e">
        <f aca="false">#REF!*E79*10</f>
        <v>#REF!</v>
      </c>
      <c r="AC79" s="10" t="e">
        <f aca="false">#REF!*D79*5</f>
        <v>#REF!</v>
      </c>
      <c r="AD79" s="10" t="e">
        <f aca="false">#REF!*D79*5</f>
        <v>#REF!</v>
      </c>
      <c r="AE79" s="10" t="e">
        <f aca="false">SUM(M79:AD79)</f>
        <v>#REF!</v>
      </c>
      <c r="AF79" s="14" t="n">
        <v>46002</v>
      </c>
      <c r="AG79" s="25" t="n">
        <v>45992</v>
      </c>
      <c r="AH79" s="15"/>
      <c r="AI79" s="15"/>
      <c r="AJ79" s="15"/>
      <c r="AK79" s="7" t="s">
        <v>359</v>
      </c>
      <c r="AL79" s="7" t="n">
        <v>3</v>
      </c>
      <c r="AM79" s="15"/>
      <c r="AN79" s="15"/>
      <c r="AO79" s="26" t="s">
        <v>88</v>
      </c>
      <c r="AP79" s="19" t="s">
        <v>89</v>
      </c>
      <c r="AQ79" s="15"/>
    </row>
    <row r="80" customFormat="false" ht="15.75" hidden="false" customHeight="false" outlineLevel="0" collapsed="false">
      <c r="A80" s="8" t="s">
        <v>360</v>
      </c>
      <c r="B80" s="8" t="s">
        <v>361</v>
      </c>
      <c r="C80" s="9" t="s">
        <v>362</v>
      </c>
      <c r="D80" s="15"/>
      <c r="E80" s="15"/>
      <c r="F80" s="22"/>
      <c r="G80" s="22"/>
      <c r="H80" s="15" t="n">
        <v>150</v>
      </c>
      <c r="I80" s="11" t="n">
        <v>1</v>
      </c>
      <c r="J80" s="10" t="e">
        <f aca="false">+I80*#REF!</f>
        <v>#REF!</v>
      </c>
      <c r="K80" s="7" t="s">
        <v>363</v>
      </c>
      <c r="L80" s="13" t="n">
        <v>4</v>
      </c>
      <c r="M80" s="28" t="e">
        <f aca="false">#REF!*L80</f>
        <v>#REF!</v>
      </c>
      <c r="N80" s="10" t="e">
        <f aca="false">#REF!*L80</f>
        <v>#REF!</v>
      </c>
      <c r="O80" s="10" t="e">
        <f aca="false">#REF!*H80</f>
        <v>#REF!</v>
      </c>
      <c r="P80" s="28" t="e">
        <f aca="false">#REF!*H80</f>
        <v>#REF!</v>
      </c>
      <c r="Q80" s="10" t="e">
        <f aca="false">Q25</f>
        <v>#REF!</v>
      </c>
      <c r="R80" s="10" t="n">
        <v>75.9</v>
      </c>
      <c r="S80" s="22"/>
      <c r="T80" s="22"/>
      <c r="U80" s="22"/>
      <c r="V80" s="22"/>
      <c r="W80" s="22"/>
      <c r="X80" s="22"/>
      <c r="Y80" s="10" t="e">
        <f aca="false">#REF!*E80</f>
        <v>#REF!</v>
      </c>
      <c r="Z80" s="10" t="e">
        <f aca="false">#REF!*D80</f>
        <v>#REF!</v>
      </c>
      <c r="AA80" s="10" t="e">
        <f aca="false">#REF!*E80*10*3</f>
        <v>#REF!</v>
      </c>
      <c r="AB80" s="10" t="e">
        <f aca="false">#REF!*E80*10</f>
        <v>#REF!</v>
      </c>
      <c r="AC80" s="10" t="e">
        <f aca="false">#REF!*D80*5</f>
        <v>#REF!</v>
      </c>
      <c r="AD80" s="10" t="e">
        <f aca="false">#REF!*D80*5</f>
        <v>#REF!</v>
      </c>
      <c r="AE80" s="10" t="e">
        <f aca="false">SUM(M80:AD80)</f>
        <v>#REF!</v>
      </c>
      <c r="AF80" s="14" t="n">
        <v>46009</v>
      </c>
      <c r="AG80" s="25" t="n">
        <v>45992</v>
      </c>
      <c r="AH80" s="15"/>
      <c r="AI80" s="15"/>
      <c r="AJ80" s="15"/>
      <c r="AK80" s="7" t="s">
        <v>364</v>
      </c>
      <c r="AL80" s="7" t="n">
        <v>4</v>
      </c>
      <c r="AM80" s="15"/>
      <c r="AN80" s="15"/>
      <c r="AO80" s="15" t="s">
        <v>66</v>
      </c>
      <c r="AP80" s="15"/>
      <c r="AQ80" s="15"/>
    </row>
    <row r="81" customFormat="false" ht="15.75" hidden="false" customHeight="false" outlineLevel="0" collapsed="false">
      <c r="A81" s="8" t="s">
        <v>365</v>
      </c>
      <c r="B81" s="8" t="s">
        <v>366</v>
      </c>
      <c r="C81" s="9" t="s">
        <v>367</v>
      </c>
      <c r="D81" s="15"/>
      <c r="E81" s="15"/>
      <c r="F81" s="22"/>
      <c r="G81" s="22"/>
      <c r="H81" s="15" t="n">
        <v>150</v>
      </c>
      <c r="I81" s="11" t="n">
        <v>2</v>
      </c>
      <c r="J81" s="10" t="e">
        <f aca="false">+I81*#REF!</f>
        <v>#REF!</v>
      </c>
      <c r="K81" s="7" t="s">
        <v>368</v>
      </c>
      <c r="L81" s="13" t="n">
        <v>5</v>
      </c>
      <c r="M81" s="28" t="e">
        <f aca="false">#REF!*L81</f>
        <v>#REF!</v>
      </c>
      <c r="N81" s="10" t="e">
        <f aca="false">#REF!*L81</f>
        <v>#REF!</v>
      </c>
      <c r="O81" s="10" t="e">
        <f aca="false">#REF!*H81</f>
        <v>#REF!</v>
      </c>
      <c r="P81" s="28" t="e">
        <f aca="false">#REF!*H81</f>
        <v>#REF!</v>
      </c>
      <c r="Q81" s="10" t="e">
        <f aca="false">Q26</f>
        <v>#REF!</v>
      </c>
      <c r="R81" s="10" t="n">
        <v>75.9</v>
      </c>
      <c r="S81" s="22"/>
      <c r="T81" s="22"/>
      <c r="U81" s="22"/>
      <c r="V81" s="22"/>
      <c r="W81" s="22"/>
      <c r="X81" s="22"/>
      <c r="Y81" s="10" t="e">
        <f aca="false">#REF!*E81</f>
        <v>#REF!</v>
      </c>
      <c r="Z81" s="10" t="e">
        <f aca="false">#REF!*D81</f>
        <v>#REF!</v>
      </c>
      <c r="AA81" s="10" t="e">
        <f aca="false">#REF!*E81*10*3</f>
        <v>#REF!</v>
      </c>
      <c r="AB81" s="10" t="e">
        <f aca="false">#REF!*E81*10</f>
        <v>#REF!</v>
      </c>
      <c r="AC81" s="10" t="e">
        <f aca="false">#REF!*D81*5</f>
        <v>#REF!</v>
      </c>
      <c r="AD81" s="10" t="e">
        <f aca="false">#REF!*D81*5</f>
        <v>#REF!</v>
      </c>
      <c r="AE81" s="10" t="e">
        <f aca="false">SUM(M81:AD81)</f>
        <v>#REF!</v>
      </c>
      <c r="AF81" s="15"/>
      <c r="AG81" s="15"/>
      <c r="AH81" s="15"/>
      <c r="AI81" s="15"/>
      <c r="AJ81" s="15"/>
      <c r="AK81" s="7" t="s">
        <v>369</v>
      </c>
      <c r="AL81" s="7"/>
      <c r="AM81" s="15"/>
      <c r="AN81" s="15"/>
      <c r="AO81" s="15" t="s">
        <v>66</v>
      </c>
      <c r="AP81" s="15"/>
      <c r="AQ81" s="15"/>
    </row>
    <row r="82" customFormat="false" ht="15.75" hidden="false" customHeight="false" outlineLevel="0" collapsed="false">
      <c r="A82" s="8" t="s">
        <v>370</v>
      </c>
      <c r="B82" s="8" t="s">
        <v>371</v>
      </c>
      <c r="C82" s="9" t="s">
        <v>372</v>
      </c>
      <c r="D82" s="15"/>
      <c r="E82" s="15"/>
      <c r="F82" s="22"/>
      <c r="G82" s="22"/>
      <c r="H82" s="15" t="n">
        <v>150</v>
      </c>
      <c r="I82" s="11" t="n">
        <v>1</v>
      </c>
      <c r="J82" s="10" t="e">
        <f aca="false">+I82*#REF!</f>
        <v>#REF!</v>
      </c>
      <c r="K82" s="7" t="s">
        <v>373</v>
      </c>
      <c r="L82" s="13" t="n">
        <v>3</v>
      </c>
      <c r="M82" s="28" t="e">
        <f aca="false">#REF!*L82</f>
        <v>#REF!</v>
      </c>
      <c r="N82" s="10" t="e">
        <f aca="false">#REF!*L82</f>
        <v>#REF!</v>
      </c>
      <c r="O82" s="10" t="e">
        <f aca="false">#REF!*H82</f>
        <v>#REF!</v>
      </c>
      <c r="P82" s="28" t="e">
        <f aca="false">#REF!*H82</f>
        <v>#REF!</v>
      </c>
      <c r="Q82" s="10" t="e">
        <f aca="false">Q27</f>
        <v>#REF!</v>
      </c>
      <c r="R82" s="10" t="n">
        <v>75.9</v>
      </c>
      <c r="S82" s="22"/>
      <c r="T82" s="22"/>
      <c r="U82" s="22"/>
      <c r="V82" s="22"/>
      <c r="W82" s="22"/>
      <c r="X82" s="22"/>
      <c r="Y82" s="10" t="e">
        <f aca="false">#REF!*E82</f>
        <v>#REF!</v>
      </c>
      <c r="Z82" s="10" t="e">
        <f aca="false">#REF!*D82</f>
        <v>#REF!</v>
      </c>
      <c r="AA82" s="10" t="e">
        <f aca="false">#REF!*E82*10*3</f>
        <v>#REF!</v>
      </c>
      <c r="AB82" s="10" t="e">
        <f aca="false">#REF!*E82*10</f>
        <v>#REF!</v>
      </c>
      <c r="AC82" s="10" t="e">
        <f aca="false">#REF!*D82*5</f>
        <v>#REF!</v>
      </c>
      <c r="AD82" s="10" t="e">
        <f aca="false">#REF!*D82*5</f>
        <v>#REF!</v>
      </c>
      <c r="AE82" s="10" t="e">
        <f aca="false">SUM(M82:AD82)</f>
        <v>#REF!</v>
      </c>
      <c r="AF82" s="14" t="n">
        <v>46009</v>
      </c>
      <c r="AG82" s="25" t="n">
        <v>45992</v>
      </c>
      <c r="AH82" s="15"/>
      <c r="AI82" s="15"/>
      <c r="AJ82" s="15"/>
      <c r="AK82" s="7" t="s">
        <v>374</v>
      </c>
      <c r="AL82" s="7" t="n">
        <v>3</v>
      </c>
      <c r="AM82" s="15"/>
      <c r="AN82" s="15"/>
      <c r="AO82" s="15" t="s">
        <v>66</v>
      </c>
      <c r="AP82" s="15"/>
      <c r="AQ82" s="15"/>
    </row>
    <row r="83" customFormat="false" ht="15.75" hidden="false" customHeight="false" outlineLevel="0" collapsed="false">
      <c r="A83" s="8" t="s">
        <v>375</v>
      </c>
      <c r="B83" s="8" t="s">
        <v>376</v>
      </c>
      <c r="C83" s="9" t="s">
        <v>377</v>
      </c>
      <c r="D83" s="15"/>
      <c r="E83" s="15"/>
      <c r="F83" s="22"/>
      <c r="G83" s="22"/>
      <c r="H83" s="15" t="n">
        <v>150</v>
      </c>
      <c r="I83" s="11" t="n">
        <v>1</v>
      </c>
      <c r="J83" s="10" t="e">
        <f aca="false">+I83*#REF!</f>
        <v>#REF!</v>
      </c>
      <c r="K83" s="7" t="s">
        <v>202</v>
      </c>
      <c r="L83" s="13" t="n">
        <v>4</v>
      </c>
      <c r="M83" s="28" t="e">
        <f aca="false">#REF!*L83</f>
        <v>#REF!</v>
      </c>
      <c r="N83" s="10" t="e">
        <f aca="false">#REF!*L83</f>
        <v>#REF!</v>
      </c>
      <c r="O83" s="10" t="e">
        <f aca="false">#REF!*H83</f>
        <v>#REF!</v>
      </c>
      <c r="P83" s="28" t="e">
        <f aca="false">#REF!*H83</f>
        <v>#REF!</v>
      </c>
      <c r="Q83" s="10" t="e">
        <f aca="false">Q28</f>
        <v>#REF!</v>
      </c>
      <c r="R83" s="10" t="n">
        <v>75.9</v>
      </c>
      <c r="S83" s="22"/>
      <c r="T83" s="22"/>
      <c r="U83" s="22"/>
      <c r="V83" s="22"/>
      <c r="W83" s="22"/>
      <c r="X83" s="22"/>
      <c r="Y83" s="10" t="e">
        <f aca="false">#REF!*E83</f>
        <v>#REF!</v>
      </c>
      <c r="Z83" s="10" t="e">
        <f aca="false">#REF!*D83</f>
        <v>#REF!</v>
      </c>
      <c r="AA83" s="10" t="e">
        <f aca="false">#REF!*E83*10*3</f>
        <v>#REF!</v>
      </c>
      <c r="AB83" s="10" t="e">
        <f aca="false">#REF!*E83*10</f>
        <v>#REF!</v>
      </c>
      <c r="AC83" s="10" t="e">
        <f aca="false">#REF!*D83*5</f>
        <v>#REF!</v>
      </c>
      <c r="AD83" s="10" t="e">
        <f aca="false">#REF!*D83*5</f>
        <v>#REF!</v>
      </c>
      <c r="AE83" s="10" t="e">
        <f aca="false">SUM(M83:AD83)</f>
        <v>#REF!</v>
      </c>
      <c r="AF83" s="14" t="n">
        <v>46003</v>
      </c>
      <c r="AG83" s="25" t="n">
        <v>45992</v>
      </c>
      <c r="AH83" s="15"/>
      <c r="AI83" s="15"/>
      <c r="AJ83" s="15"/>
      <c r="AK83" s="7" t="s">
        <v>378</v>
      </c>
      <c r="AL83" s="7" t="n">
        <v>4</v>
      </c>
      <c r="AM83" s="15"/>
      <c r="AN83" s="15"/>
      <c r="AO83" s="15" t="s">
        <v>66</v>
      </c>
      <c r="AP83" s="15"/>
      <c r="AQ83" s="15"/>
    </row>
    <row r="84" customFormat="false" ht="15.75" hidden="false" customHeight="false" outlineLevel="0" collapsed="false">
      <c r="A84" s="8" t="s">
        <v>379</v>
      </c>
      <c r="B84" s="8" t="s">
        <v>380</v>
      </c>
      <c r="C84" s="9" t="s">
        <v>381</v>
      </c>
      <c r="D84" s="15" t="n">
        <v>5</v>
      </c>
      <c r="E84" s="15"/>
      <c r="F84" s="22"/>
      <c r="G84" s="22"/>
      <c r="H84" s="15" t="n">
        <v>150</v>
      </c>
      <c r="I84" s="11" t="n">
        <v>1</v>
      </c>
      <c r="J84" s="10" t="e">
        <f aca="false">+I84*#REF!</f>
        <v>#REF!</v>
      </c>
      <c r="K84" s="7" t="s">
        <v>382</v>
      </c>
      <c r="L84" s="13" t="n">
        <v>4</v>
      </c>
      <c r="M84" s="28" t="e">
        <f aca="false">#REF!*L84</f>
        <v>#REF!</v>
      </c>
      <c r="N84" s="10" t="e">
        <f aca="false">#REF!*L84</f>
        <v>#REF!</v>
      </c>
      <c r="O84" s="10" t="e">
        <f aca="false">#REF!*H84</f>
        <v>#REF!</v>
      </c>
      <c r="P84" s="28" t="e">
        <f aca="false">#REF!*H84</f>
        <v>#REF!</v>
      </c>
      <c r="Q84" s="10" t="e">
        <f aca="false">Q29</f>
        <v>#REF!</v>
      </c>
      <c r="R84" s="10" t="n">
        <v>75.9</v>
      </c>
      <c r="S84" s="22"/>
      <c r="T84" s="22"/>
      <c r="U84" s="22"/>
      <c r="V84" s="22"/>
      <c r="W84" s="22"/>
      <c r="X84" s="22"/>
      <c r="Y84" s="10" t="e">
        <f aca="false">#REF!*E84</f>
        <v>#REF!</v>
      </c>
      <c r="Z84" s="10" t="e">
        <f aca="false">#REF!*D84</f>
        <v>#REF!</v>
      </c>
      <c r="AA84" s="10" t="e">
        <f aca="false">#REF!*E84*10*3</f>
        <v>#REF!</v>
      </c>
      <c r="AB84" s="10" t="e">
        <f aca="false">#REF!*E84*10</f>
        <v>#REF!</v>
      </c>
      <c r="AC84" s="10" t="e">
        <f aca="false">#REF!*D84*5</f>
        <v>#REF!</v>
      </c>
      <c r="AD84" s="10" t="e">
        <f aca="false">#REF!*D84*5</f>
        <v>#REF!</v>
      </c>
      <c r="AE84" s="10" t="e">
        <f aca="false">SUM(M84:AD84)</f>
        <v>#REF!</v>
      </c>
      <c r="AF84" s="14" t="n">
        <v>46003</v>
      </c>
      <c r="AG84" s="25" t="n">
        <v>45992</v>
      </c>
      <c r="AH84" s="15"/>
      <c r="AI84" s="15"/>
      <c r="AJ84" s="15"/>
      <c r="AK84" s="7" t="s">
        <v>383</v>
      </c>
      <c r="AL84" s="7" t="n">
        <v>4</v>
      </c>
      <c r="AM84" s="15"/>
      <c r="AN84" s="15"/>
      <c r="AO84" s="15" t="s">
        <v>66</v>
      </c>
      <c r="AP84" s="15"/>
      <c r="AQ84" s="15"/>
    </row>
    <row r="85" customFormat="false" ht="15.75" hidden="false" customHeight="false" outlineLevel="0" collapsed="false">
      <c r="A85" s="8" t="s">
        <v>384</v>
      </c>
      <c r="B85" s="8" t="s">
        <v>385</v>
      </c>
      <c r="C85" s="17" t="s">
        <v>386</v>
      </c>
      <c r="D85" s="15" t="n">
        <v>5</v>
      </c>
      <c r="E85" s="15"/>
      <c r="F85" s="10" t="e">
        <f aca="false">#REF!</f>
        <v>#REF!</v>
      </c>
      <c r="G85" s="10" t="e">
        <f aca="false">#REF!</f>
        <v>#REF!</v>
      </c>
      <c r="H85" s="15" t="n">
        <v>150</v>
      </c>
      <c r="I85" s="11" t="n">
        <v>1</v>
      </c>
      <c r="J85" s="10" t="e">
        <f aca="false">+I85*#REF!</f>
        <v>#REF!</v>
      </c>
      <c r="K85" s="7" t="s">
        <v>387</v>
      </c>
      <c r="L85" s="13" t="n">
        <v>3</v>
      </c>
      <c r="M85" s="28" t="e">
        <f aca="false">#REF!*L85</f>
        <v>#REF!</v>
      </c>
      <c r="N85" s="10" t="e">
        <f aca="false">#REF!*L85</f>
        <v>#REF!</v>
      </c>
      <c r="O85" s="10" t="e">
        <f aca="false">#REF!*H85</f>
        <v>#REF!</v>
      </c>
      <c r="P85" s="28" t="e">
        <f aca="false">#REF!*H85</f>
        <v>#REF!</v>
      </c>
      <c r="Q85" s="10" t="e">
        <f aca="false">Q30</f>
        <v>#REF!</v>
      </c>
      <c r="R85" s="10" t="n">
        <v>75.9</v>
      </c>
      <c r="S85" s="10" t="e">
        <f aca="false">#REF!</f>
        <v>#REF!</v>
      </c>
      <c r="T85" s="10" t="e">
        <f aca="false">#REF!</f>
        <v>#REF!</v>
      </c>
      <c r="U85" s="10" t="e">
        <f aca="false">#REF!</f>
        <v>#REF!</v>
      </c>
      <c r="V85" s="10" t="e">
        <f aca="false">#REF!</f>
        <v>#REF!</v>
      </c>
      <c r="W85" s="10" t="e">
        <f aca="false">#REF!</f>
        <v>#REF!</v>
      </c>
      <c r="X85" s="10" t="e">
        <f aca="false">#REF!</f>
        <v>#REF!</v>
      </c>
      <c r="Y85" s="10" t="e">
        <f aca="false">#REF!*E85</f>
        <v>#REF!</v>
      </c>
      <c r="Z85" s="10" t="e">
        <f aca="false">#REF!*D85</f>
        <v>#REF!</v>
      </c>
      <c r="AA85" s="10" t="e">
        <f aca="false">#REF!*E85*10*3</f>
        <v>#REF!</v>
      </c>
      <c r="AB85" s="10" t="e">
        <f aca="false">#REF!*E85*10</f>
        <v>#REF!</v>
      </c>
      <c r="AC85" s="10" t="e">
        <f aca="false">#REF!*D85*5</f>
        <v>#REF!</v>
      </c>
      <c r="AD85" s="10" t="e">
        <f aca="false">#REF!*D85*5</f>
        <v>#REF!</v>
      </c>
      <c r="AE85" s="10" t="e">
        <f aca="false">SUM(M85:AD85)</f>
        <v>#REF!</v>
      </c>
      <c r="AF85" s="14" t="n">
        <v>45398</v>
      </c>
      <c r="AG85" s="14" t="n">
        <v>45385</v>
      </c>
      <c r="AH85" s="14" t="n">
        <v>45397</v>
      </c>
      <c r="AI85" s="15"/>
      <c r="AJ85" s="15"/>
      <c r="AK85" s="7" t="s">
        <v>388</v>
      </c>
      <c r="AL85" s="7"/>
      <c r="AM85" s="15"/>
      <c r="AN85" s="15" t="n">
        <v>3</v>
      </c>
      <c r="AO85" s="26" t="s">
        <v>88</v>
      </c>
      <c r="AP85" s="19" t="s">
        <v>89</v>
      </c>
      <c r="AQ85" s="15"/>
    </row>
    <row r="86" customFormat="false" ht="15.75" hidden="false" customHeight="false" outlineLevel="0" collapsed="false">
      <c r="A86" s="8" t="s">
        <v>389</v>
      </c>
      <c r="B86" s="8" t="s">
        <v>390</v>
      </c>
      <c r="C86" s="9" t="s">
        <v>391</v>
      </c>
      <c r="D86" s="15" t="n">
        <v>5</v>
      </c>
      <c r="E86" s="15"/>
      <c r="F86" s="10" t="e">
        <f aca="false">#REF!</f>
        <v>#REF!</v>
      </c>
      <c r="G86" s="10" t="e">
        <f aca="false">#REF!</f>
        <v>#REF!</v>
      </c>
      <c r="H86" s="15" t="n">
        <v>150</v>
      </c>
      <c r="I86" s="11" t="n">
        <v>1</v>
      </c>
      <c r="J86" s="10" t="e">
        <f aca="false">+I86*#REF!</f>
        <v>#REF!</v>
      </c>
      <c r="K86" s="7"/>
      <c r="L86" s="13" t="n">
        <v>4</v>
      </c>
      <c r="M86" s="28" t="e">
        <f aca="false">#REF!*L86</f>
        <v>#REF!</v>
      </c>
      <c r="N86" s="10" t="e">
        <f aca="false">#REF!*L86</f>
        <v>#REF!</v>
      </c>
      <c r="O86" s="10" t="e">
        <f aca="false">#REF!*H86</f>
        <v>#REF!</v>
      </c>
      <c r="P86" s="28" t="e">
        <f aca="false">#REF!*H86</f>
        <v>#REF!</v>
      </c>
      <c r="Q86" s="10" t="e">
        <f aca="false">Q31</f>
        <v>#REF!</v>
      </c>
      <c r="R86" s="10" t="n">
        <v>75.9</v>
      </c>
      <c r="S86" s="10" t="e">
        <f aca="false">#REF!</f>
        <v>#REF!</v>
      </c>
      <c r="T86" s="10" t="e">
        <f aca="false">#REF!</f>
        <v>#REF!</v>
      </c>
      <c r="U86" s="10" t="e">
        <f aca="false">#REF!</f>
        <v>#REF!</v>
      </c>
      <c r="V86" s="10" t="e">
        <f aca="false">#REF!</f>
        <v>#REF!</v>
      </c>
      <c r="W86" s="10" t="e">
        <f aca="false">#REF!</f>
        <v>#REF!</v>
      </c>
      <c r="X86" s="10" t="e">
        <f aca="false">#REF!</f>
        <v>#REF!</v>
      </c>
      <c r="Y86" s="10" t="e">
        <f aca="false">#REF!*E86</f>
        <v>#REF!</v>
      </c>
      <c r="Z86" s="10" t="e">
        <f aca="false">#REF!*D86</f>
        <v>#REF!</v>
      </c>
      <c r="AA86" s="10" t="e">
        <f aca="false">#REF!*E86*10*3</f>
        <v>#REF!</v>
      </c>
      <c r="AB86" s="10" t="e">
        <f aca="false">#REF!*E86*10</f>
        <v>#REF!</v>
      </c>
      <c r="AC86" s="10" t="e">
        <f aca="false">#REF!*D86*5</f>
        <v>#REF!</v>
      </c>
      <c r="AD86" s="10" t="e">
        <f aca="false">#REF!*D86*5</f>
        <v>#REF!</v>
      </c>
      <c r="AE86" s="10" t="e">
        <f aca="false">SUM(M86:AD86)</f>
        <v>#REF!</v>
      </c>
      <c r="AF86" s="14" t="n">
        <v>46001</v>
      </c>
      <c r="AG86" s="15"/>
      <c r="AH86" s="15"/>
      <c r="AI86" s="15"/>
      <c r="AJ86" s="15"/>
      <c r="AK86" s="7"/>
      <c r="AL86" s="7" t="n">
        <v>4</v>
      </c>
      <c r="AM86" s="15"/>
      <c r="AN86" s="15"/>
      <c r="AO86" s="26" t="s">
        <v>88</v>
      </c>
      <c r="AP86" s="19" t="s">
        <v>89</v>
      </c>
      <c r="AQ86" s="15"/>
    </row>
    <row r="87" customFormat="false" ht="15.75" hidden="false" customHeight="false" outlineLevel="0" collapsed="false">
      <c r="A87" s="8" t="s">
        <v>392</v>
      </c>
      <c r="B87" s="8" t="n">
        <v>1117</v>
      </c>
      <c r="C87" s="9" t="s">
        <v>393</v>
      </c>
      <c r="D87" s="15"/>
      <c r="E87" s="15"/>
      <c r="F87" s="22"/>
      <c r="G87" s="22"/>
      <c r="H87" s="15" t="n">
        <v>150</v>
      </c>
      <c r="I87" s="11" t="n">
        <v>1</v>
      </c>
      <c r="J87" s="10" t="e">
        <f aca="false">+I87*#REF!</f>
        <v>#REF!</v>
      </c>
      <c r="K87" s="7"/>
      <c r="L87" s="13" t="n">
        <v>3</v>
      </c>
      <c r="M87" s="28" t="e">
        <f aca="false">#REF!*L87</f>
        <v>#REF!</v>
      </c>
      <c r="N87" s="10" t="e">
        <f aca="false">#REF!*L87</f>
        <v>#REF!</v>
      </c>
      <c r="O87" s="10" t="e">
        <f aca="false">#REF!*H87</f>
        <v>#REF!</v>
      </c>
      <c r="P87" s="28" t="e">
        <f aca="false">#REF!*H87</f>
        <v>#REF!</v>
      </c>
      <c r="Q87" s="10" t="e">
        <f aca="false">Q32</f>
        <v>#REF!</v>
      </c>
      <c r="R87" s="10" t="n">
        <v>75.9</v>
      </c>
      <c r="S87" s="22"/>
      <c r="T87" s="22"/>
      <c r="U87" s="22"/>
      <c r="V87" s="22"/>
      <c r="W87" s="22"/>
      <c r="X87" s="22"/>
      <c r="Y87" s="10" t="e">
        <f aca="false">#REF!*E87</f>
        <v>#REF!</v>
      </c>
      <c r="Z87" s="10" t="e">
        <f aca="false">#REF!*D87</f>
        <v>#REF!</v>
      </c>
      <c r="AA87" s="10" t="e">
        <f aca="false">#REF!*E87*10*3</f>
        <v>#REF!</v>
      </c>
      <c r="AB87" s="10" t="e">
        <f aca="false">#REF!*E87*10</f>
        <v>#REF!</v>
      </c>
      <c r="AC87" s="10" t="e">
        <f aca="false">#REF!*D87*5</f>
        <v>#REF!</v>
      </c>
      <c r="AD87" s="10" t="e">
        <f aca="false">#REF!*D87*5</f>
        <v>#REF!</v>
      </c>
      <c r="AE87" s="10" t="e">
        <f aca="false">SUM(M87:AD87)</f>
        <v>#REF!</v>
      </c>
      <c r="AF87" s="14" t="n">
        <v>46008</v>
      </c>
      <c r="AG87" s="25" t="n">
        <v>45992</v>
      </c>
      <c r="AH87" s="15"/>
      <c r="AI87" s="15"/>
      <c r="AJ87" s="15"/>
      <c r="AK87" s="7"/>
      <c r="AL87" s="7" t="n">
        <v>3</v>
      </c>
      <c r="AM87" s="15"/>
      <c r="AN87" s="15"/>
      <c r="AO87" s="15" t="s">
        <v>66</v>
      </c>
      <c r="AP87" s="15"/>
      <c r="AQ87" s="15"/>
    </row>
    <row r="88" customFormat="false" ht="15.75" hidden="false" customHeight="false" outlineLevel="0" collapsed="false">
      <c r="A88" s="8" t="s">
        <v>394</v>
      </c>
      <c r="B88" s="8" t="n">
        <v>9004</v>
      </c>
      <c r="C88" s="9" t="s">
        <v>395</v>
      </c>
      <c r="D88" s="15"/>
      <c r="E88" s="15"/>
      <c r="F88" s="22"/>
      <c r="G88" s="22"/>
      <c r="H88" s="15" t="n">
        <v>150</v>
      </c>
      <c r="I88" s="11" t="n">
        <v>1</v>
      </c>
      <c r="J88" s="10" t="e">
        <f aca="false">+I88*#REF!</f>
        <v>#REF!</v>
      </c>
      <c r="K88" s="7"/>
      <c r="L88" s="13" t="n">
        <v>4</v>
      </c>
      <c r="M88" s="28" t="e">
        <f aca="false">#REF!*L88</f>
        <v>#REF!</v>
      </c>
      <c r="N88" s="10" t="e">
        <f aca="false">#REF!*L88</f>
        <v>#REF!</v>
      </c>
      <c r="O88" s="10" t="e">
        <f aca="false">#REF!*H88</f>
        <v>#REF!</v>
      </c>
      <c r="P88" s="28" t="e">
        <f aca="false">#REF!*H88</f>
        <v>#REF!</v>
      </c>
      <c r="Q88" s="10" t="e">
        <f aca="false">Q33</f>
        <v>#REF!</v>
      </c>
      <c r="R88" s="10" t="n">
        <v>75.9</v>
      </c>
      <c r="S88" s="22"/>
      <c r="T88" s="22"/>
      <c r="U88" s="22"/>
      <c r="V88" s="22"/>
      <c r="W88" s="22"/>
      <c r="X88" s="22"/>
      <c r="Y88" s="10" t="e">
        <f aca="false">#REF!*E88</f>
        <v>#REF!</v>
      </c>
      <c r="Z88" s="10" t="e">
        <f aca="false">#REF!*D88</f>
        <v>#REF!</v>
      </c>
      <c r="AA88" s="10" t="e">
        <f aca="false">#REF!*E88*10*3</f>
        <v>#REF!</v>
      </c>
      <c r="AB88" s="10" t="e">
        <f aca="false">#REF!*E88*10</f>
        <v>#REF!</v>
      </c>
      <c r="AC88" s="10" t="e">
        <f aca="false">#REF!*D88*5</f>
        <v>#REF!</v>
      </c>
      <c r="AD88" s="10" t="e">
        <f aca="false">#REF!*D88*5</f>
        <v>#REF!</v>
      </c>
      <c r="AE88" s="10" t="e">
        <f aca="false">SUM(M88:AD88)</f>
        <v>#REF!</v>
      </c>
      <c r="AF88" s="14" t="n">
        <v>46008</v>
      </c>
      <c r="AG88" s="25" t="n">
        <v>45992</v>
      </c>
      <c r="AH88" s="15"/>
      <c r="AI88" s="15"/>
      <c r="AJ88" s="15"/>
      <c r="AK88" s="7"/>
      <c r="AL88" s="7" t="n">
        <v>4</v>
      </c>
      <c r="AM88" s="15"/>
      <c r="AN88" s="15"/>
      <c r="AO88" s="15" t="s">
        <v>66</v>
      </c>
      <c r="AP88" s="15"/>
      <c r="AQ88" s="15"/>
    </row>
    <row r="89" customFormat="false" ht="15.75" hidden="false" customHeight="false" outlineLevel="0" collapsed="false">
      <c r="A89" s="8" t="s">
        <v>396</v>
      </c>
      <c r="B89" s="8" t="n">
        <v>6008</v>
      </c>
      <c r="C89" s="9" t="s">
        <v>397</v>
      </c>
      <c r="D89" s="15" t="n">
        <v>5</v>
      </c>
      <c r="E89" s="15"/>
      <c r="F89" s="22"/>
      <c r="G89" s="22"/>
      <c r="H89" s="15" t="n">
        <v>150</v>
      </c>
      <c r="I89" s="11" t="n">
        <v>2</v>
      </c>
      <c r="J89" s="10" t="e">
        <f aca="false">+I89*#REF!</f>
        <v>#REF!</v>
      </c>
      <c r="K89" s="7"/>
      <c r="L89" s="13" t="n">
        <v>6</v>
      </c>
      <c r="M89" s="28" t="e">
        <f aca="false">#REF!*L89</f>
        <v>#REF!</v>
      </c>
      <c r="N89" s="10" t="e">
        <f aca="false">#REF!*L89</f>
        <v>#REF!</v>
      </c>
      <c r="O89" s="10" t="e">
        <f aca="false">#REF!*H89</f>
        <v>#REF!</v>
      </c>
      <c r="P89" s="28" t="e">
        <f aca="false">#REF!*H89</f>
        <v>#REF!</v>
      </c>
      <c r="Q89" s="10" t="e">
        <f aca="false">Q34</f>
        <v>#REF!</v>
      </c>
      <c r="R89" s="10" t="n">
        <v>75.9</v>
      </c>
      <c r="S89" s="22"/>
      <c r="T89" s="22"/>
      <c r="U89" s="22"/>
      <c r="V89" s="22"/>
      <c r="W89" s="22"/>
      <c r="X89" s="22"/>
      <c r="Y89" s="10" t="e">
        <f aca="false">#REF!*E89</f>
        <v>#REF!</v>
      </c>
      <c r="Z89" s="10" t="e">
        <f aca="false">#REF!*D89</f>
        <v>#REF!</v>
      </c>
      <c r="AA89" s="10" t="e">
        <f aca="false">#REF!*E89*10*3</f>
        <v>#REF!</v>
      </c>
      <c r="AB89" s="10" t="e">
        <f aca="false">#REF!*E89*10</f>
        <v>#REF!</v>
      </c>
      <c r="AC89" s="10" t="e">
        <f aca="false">#REF!*D89*5</f>
        <v>#REF!</v>
      </c>
      <c r="AD89" s="10" t="e">
        <f aca="false">#REF!*D89*5</f>
        <v>#REF!</v>
      </c>
      <c r="AE89" s="10" t="e">
        <f aca="false">SUM(M89:AD89)</f>
        <v>#REF!</v>
      </c>
      <c r="AF89" s="14" t="n">
        <v>46001</v>
      </c>
      <c r="AG89" s="25" t="n">
        <v>45992</v>
      </c>
      <c r="AH89" s="15"/>
      <c r="AI89" s="15"/>
      <c r="AJ89" s="15"/>
      <c r="AK89" s="7"/>
      <c r="AL89" s="7" t="n">
        <v>6</v>
      </c>
      <c r="AM89" s="15"/>
      <c r="AN89" s="15"/>
      <c r="AO89" s="15" t="s">
        <v>66</v>
      </c>
      <c r="AP89" s="15"/>
      <c r="AQ89" s="15"/>
    </row>
    <row r="90" customFormat="false" ht="15.75" hidden="false" customHeight="false" outlineLevel="0" collapsed="false">
      <c r="A90" s="8" t="s">
        <v>398</v>
      </c>
      <c r="B90" s="8" t="n">
        <v>6019</v>
      </c>
      <c r="C90" s="9" t="s">
        <v>399</v>
      </c>
      <c r="D90" s="15"/>
      <c r="E90" s="15"/>
      <c r="F90" s="22"/>
      <c r="G90" s="22"/>
      <c r="H90" s="15" t="n">
        <v>150</v>
      </c>
      <c r="I90" s="11" t="n">
        <v>1</v>
      </c>
      <c r="J90" s="10" t="e">
        <f aca="false">+I90*#REF!</f>
        <v>#REF!</v>
      </c>
      <c r="K90" s="7"/>
      <c r="L90" s="13" t="n">
        <v>3</v>
      </c>
      <c r="M90" s="28" t="e">
        <f aca="false">#REF!*L90</f>
        <v>#REF!</v>
      </c>
      <c r="N90" s="10" t="e">
        <f aca="false">#REF!*L90</f>
        <v>#REF!</v>
      </c>
      <c r="O90" s="10" t="e">
        <f aca="false">#REF!*H90</f>
        <v>#REF!</v>
      </c>
      <c r="P90" s="28" t="e">
        <f aca="false">#REF!*H90</f>
        <v>#REF!</v>
      </c>
      <c r="Q90" s="10" t="e">
        <f aca="false">Q35</f>
        <v>#REF!</v>
      </c>
      <c r="R90" s="10" t="n">
        <v>75.9</v>
      </c>
      <c r="S90" s="22"/>
      <c r="T90" s="22"/>
      <c r="U90" s="22"/>
      <c r="V90" s="22"/>
      <c r="W90" s="22"/>
      <c r="X90" s="22"/>
      <c r="Y90" s="10" t="e">
        <f aca="false">#REF!*E90</f>
        <v>#REF!</v>
      </c>
      <c r="Z90" s="10" t="e">
        <f aca="false">#REF!*D90</f>
        <v>#REF!</v>
      </c>
      <c r="AA90" s="10" t="e">
        <f aca="false">#REF!*E90*10*3</f>
        <v>#REF!</v>
      </c>
      <c r="AB90" s="10" t="e">
        <f aca="false">#REF!*E90*10</f>
        <v>#REF!</v>
      </c>
      <c r="AC90" s="10" t="e">
        <f aca="false">#REF!*D90*5</f>
        <v>#REF!</v>
      </c>
      <c r="AD90" s="10" t="e">
        <f aca="false">#REF!*D90*5</f>
        <v>#REF!</v>
      </c>
      <c r="AE90" s="10" t="e">
        <f aca="false">SUM(M90:AD90)</f>
        <v>#REF!</v>
      </c>
      <c r="AF90" s="15"/>
      <c r="AG90" s="14" t="n">
        <v>45385</v>
      </c>
      <c r="AH90" s="15"/>
      <c r="AI90" s="15" t="s">
        <v>45</v>
      </c>
      <c r="AJ90" s="15"/>
      <c r="AK90" s="7"/>
      <c r="AL90" s="7"/>
      <c r="AM90" s="15"/>
      <c r="AN90" s="15"/>
      <c r="AO90" s="15" t="s">
        <v>66</v>
      </c>
      <c r="AP90" s="15"/>
      <c r="AQ90" s="15"/>
    </row>
    <row r="91" customFormat="false" ht="15.75" hidden="false" customHeight="false" outlineLevel="0" collapsed="false">
      <c r="A91" s="8" t="s">
        <v>400</v>
      </c>
      <c r="B91" s="8" t="s">
        <v>401</v>
      </c>
      <c r="C91" s="9" t="s">
        <v>402</v>
      </c>
      <c r="D91" s="15" t="n">
        <v>5</v>
      </c>
      <c r="E91" s="15"/>
      <c r="F91" s="22"/>
      <c r="G91" s="22"/>
      <c r="H91" s="15" t="n">
        <v>150</v>
      </c>
      <c r="I91" s="11" t="n">
        <v>1</v>
      </c>
      <c r="J91" s="10" t="e">
        <f aca="false">+I91*#REF!</f>
        <v>#REF!</v>
      </c>
      <c r="K91" s="7" t="s">
        <v>403</v>
      </c>
      <c r="L91" s="13" t="n">
        <v>4</v>
      </c>
      <c r="M91" s="28" t="e">
        <f aca="false">#REF!*L91</f>
        <v>#REF!</v>
      </c>
      <c r="N91" s="10" t="e">
        <f aca="false">#REF!*L91</f>
        <v>#REF!</v>
      </c>
      <c r="O91" s="10" t="e">
        <f aca="false">#REF!*H91</f>
        <v>#REF!</v>
      </c>
      <c r="P91" s="28" t="e">
        <f aca="false">#REF!*H91</f>
        <v>#REF!</v>
      </c>
      <c r="Q91" s="10" t="e">
        <f aca="false">Q36</f>
        <v>#REF!</v>
      </c>
      <c r="R91" s="10" t="n">
        <v>75.9</v>
      </c>
      <c r="S91" s="22"/>
      <c r="T91" s="22"/>
      <c r="U91" s="22"/>
      <c r="V91" s="22"/>
      <c r="W91" s="22"/>
      <c r="X91" s="22"/>
      <c r="Y91" s="10" t="e">
        <f aca="false">#REF!*E91</f>
        <v>#REF!</v>
      </c>
      <c r="Z91" s="10" t="e">
        <f aca="false">#REF!*D91</f>
        <v>#REF!</v>
      </c>
      <c r="AA91" s="10" t="e">
        <f aca="false">#REF!*E91*10*3</f>
        <v>#REF!</v>
      </c>
      <c r="AB91" s="10" t="e">
        <f aca="false">#REF!*E91*10</f>
        <v>#REF!</v>
      </c>
      <c r="AC91" s="10" t="e">
        <f aca="false">#REF!*D91*5</f>
        <v>#REF!</v>
      </c>
      <c r="AD91" s="10" t="e">
        <f aca="false">#REF!*D91*5</f>
        <v>#REF!</v>
      </c>
      <c r="AE91" s="10" t="e">
        <f aca="false">SUM(M91:AD91)</f>
        <v>#REF!</v>
      </c>
      <c r="AF91" s="15"/>
      <c r="AG91" s="14" t="n">
        <v>45385</v>
      </c>
      <c r="AH91" s="15"/>
      <c r="AI91" s="15" t="s">
        <v>45</v>
      </c>
      <c r="AJ91" s="15"/>
      <c r="AK91" s="7" t="s">
        <v>404</v>
      </c>
      <c r="AL91" s="7"/>
      <c r="AM91" s="15"/>
      <c r="AN91" s="15"/>
      <c r="AO91" s="15" t="s">
        <v>66</v>
      </c>
      <c r="AP91" s="15"/>
      <c r="AQ91" s="15"/>
    </row>
    <row r="92" customFormat="false" ht="15.75" hidden="false" customHeight="false" outlineLevel="0" collapsed="false">
      <c r="A92" s="8" t="s">
        <v>405</v>
      </c>
      <c r="B92" s="8" t="s">
        <v>406</v>
      </c>
      <c r="C92" s="9" t="s">
        <v>407</v>
      </c>
      <c r="D92" s="15"/>
      <c r="E92" s="15" t="n">
        <v>10</v>
      </c>
      <c r="F92" s="22"/>
      <c r="G92" s="22"/>
      <c r="H92" s="15" t="n">
        <v>150</v>
      </c>
      <c r="I92" s="11" t="n">
        <v>1</v>
      </c>
      <c r="J92" s="10" t="e">
        <f aca="false">+I92*#REF!</f>
        <v>#REF!</v>
      </c>
      <c r="K92" s="7" t="s">
        <v>408</v>
      </c>
      <c r="L92" s="13" t="n">
        <v>4</v>
      </c>
      <c r="M92" s="28" t="e">
        <f aca="false">#REF!*L92</f>
        <v>#REF!</v>
      </c>
      <c r="N92" s="10" t="e">
        <f aca="false">#REF!*L92</f>
        <v>#REF!</v>
      </c>
      <c r="O92" s="10" t="e">
        <f aca="false">#REF!*H92</f>
        <v>#REF!</v>
      </c>
      <c r="P92" s="28" t="e">
        <f aca="false">#REF!*H92</f>
        <v>#REF!</v>
      </c>
      <c r="Q92" s="10" t="e">
        <f aca="false">Q37</f>
        <v>#REF!</v>
      </c>
      <c r="R92" s="10" t="n">
        <v>75.9</v>
      </c>
      <c r="S92" s="22"/>
      <c r="T92" s="22"/>
      <c r="U92" s="22"/>
      <c r="V92" s="22"/>
      <c r="W92" s="22"/>
      <c r="X92" s="22"/>
      <c r="Y92" s="10" t="e">
        <f aca="false">#REF!*E92</f>
        <v>#REF!</v>
      </c>
      <c r="Z92" s="10" t="e">
        <f aca="false">#REF!*D92</f>
        <v>#REF!</v>
      </c>
      <c r="AA92" s="10" t="e">
        <f aca="false">#REF!*E92*10*3</f>
        <v>#REF!</v>
      </c>
      <c r="AB92" s="10" t="e">
        <f aca="false">#REF!*E92*10</f>
        <v>#REF!</v>
      </c>
      <c r="AC92" s="10" t="e">
        <f aca="false">#REF!*D92*5</f>
        <v>#REF!</v>
      </c>
      <c r="AD92" s="10" t="e">
        <f aca="false">#REF!*D92*5</f>
        <v>#REF!</v>
      </c>
      <c r="AE92" s="10" t="e">
        <f aca="false">SUM(M92:AD92)</f>
        <v>#REF!</v>
      </c>
      <c r="AF92" s="14" t="n">
        <v>46008</v>
      </c>
      <c r="AG92" s="25" t="n">
        <v>45992</v>
      </c>
      <c r="AH92" s="15"/>
      <c r="AI92" s="15" t="s">
        <v>45</v>
      </c>
      <c r="AJ92" s="15" t="s">
        <v>45</v>
      </c>
      <c r="AK92" s="7" t="s">
        <v>409</v>
      </c>
      <c r="AL92" s="7" t="n">
        <v>3</v>
      </c>
      <c r="AM92" s="15"/>
      <c r="AN92" s="15"/>
      <c r="AO92" s="15" t="s">
        <v>66</v>
      </c>
      <c r="AP92" s="15"/>
      <c r="AQ92" s="15"/>
    </row>
    <row r="93" customFormat="false" ht="15.75" hidden="false" customHeight="false" outlineLevel="0" collapsed="false">
      <c r="A93" s="8" t="s">
        <v>410</v>
      </c>
      <c r="B93" s="8" t="s">
        <v>411</v>
      </c>
      <c r="C93" s="9" t="s">
        <v>412</v>
      </c>
      <c r="D93" s="15" t="n">
        <v>5</v>
      </c>
      <c r="E93" s="15"/>
      <c r="F93" s="10"/>
      <c r="G93" s="10"/>
      <c r="H93" s="15" t="n">
        <v>150</v>
      </c>
      <c r="I93" s="11" t="n">
        <v>1</v>
      </c>
      <c r="J93" s="10" t="e">
        <f aca="false">+I93*#REF!</f>
        <v>#REF!</v>
      </c>
      <c r="K93" s="7" t="s">
        <v>413</v>
      </c>
      <c r="L93" s="13" t="n">
        <v>3</v>
      </c>
      <c r="M93" s="28" t="e">
        <f aca="false">#REF!*L93</f>
        <v>#REF!</v>
      </c>
      <c r="N93" s="10" t="e">
        <f aca="false">#REF!*L93</f>
        <v>#REF!</v>
      </c>
      <c r="O93" s="10" t="e">
        <f aca="false">#REF!*H93</f>
        <v>#REF!</v>
      </c>
      <c r="P93" s="28" t="e">
        <f aca="false">#REF!*H93</f>
        <v>#REF!</v>
      </c>
      <c r="Q93" s="10" t="e">
        <f aca="false">Q38</f>
        <v>#REF!</v>
      </c>
      <c r="R93" s="10" t="n">
        <v>75.9</v>
      </c>
      <c r="S93" s="10"/>
      <c r="T93" s="10"/>
      <c r="U93" s="10"/>
      <c r="V93" s="10"/>
      <c r="W93" s="10"/>
      <c r="X93" s="10"/>
      <c r="Y93" s="10" t="e">
        <f aca="false">#REF!*E93</f>
        <v>#REF!</v>
      </c>
      <c r="Z93" s="10" t="e">
        <f aca="false">#REF!*D93</f>
        <v>#REF!</v>
      </c>
      <c r="AA93" s="10" t="e">
        <f aca="false">#REF!*E93*10*3</f>
        <v>#REF!</v>
      </c>
      <c r="AB93" s="10" t="e">
        <f aca="false">#REF!*E93*10</f>
        <v>#REF!</v>
      </c>
      <c r="AC93" s="10" t="e">
        <f aca="false">#REF!*D93*5</f>
        <v>#REF!</v>
      </c>
      <c r="AD93" s="10" t="e">
        <f aca="false">#REF!*D93*5</f>
        <v>#REF!</v>
      </c>
      <c r="AE93" s="10" t="e">
        <f aca="false">SUM(M93:AD93)</f>
        <v>#REF!</v>
      </c>
      <c r="AF93" s="15"/>
      <c r="AG93" s="15"/>
      <c r="AH93" s="15"/>
      <c r="AI93" s="15"/>
      <c r="AJ93" s="15"/>
      <c r="AK93" s="7" t="s">
        <v>414</v>
      </c>
      <c r="AL93" s="7"/>
      <c r="AM93" s="15"/>
      <c r="AN93" s="15"/>
      <c r="AO93" s="26" t="s">
        <v>415</v>
      </c>
      <c r="AP93" s="19" t="s">
        <v>89</v>
      </c>
      <c r="AQ93" s="15"/>
    </row>
    <row r="94" customFormat="false" ht="15.75" hidden="false" customHeight="false" outlineLevel="0" collapsed="false">
      <c r="A94" s="8" t="s">
        <v>416</v>
      </c>
      <c r="B94" s="8" t="s">
        <v>417</v>
      </c>
      <c r="C94" s="9" t="s">
        <v>418</v>
      </c>
      <c r="D94" s="15" t="n">
        <v>5</v>
      </c>
      <c r="E94" s="15"/>
      <c r="F94" s="10" t="e">
        <f aca="false">#REF!</f>
        <v>#REF!</v>
      </c>
      <c r="G94" s="10" t="e">
        <f aca="false">#REF!</f>
        <v>#REF!</v>
      </c>
      <c r="H94" s="15" t="n">
        <v>150</v>
      </c>
      <c r="I94" s="11" t="n">
        <v>1</v>
      </c>
      <c r="J94" s="10" t="e">
        <f aca="false">+I94*#REF!</f>
        <v>#REF!</v>
      </c>
      <c r="K94" s="7" t="s">
        <v>419</v>
      </c>
      <c r="L94" s="13" t="n">
        <v>2</v>
      </c>
      <c r="M94" s="28" t="e">
        <f aca="false">#REF!*L94</f>
        <v>#REF!</v>
      </c>
      <c r="N94" s="10" t="e">
        <f aca="false">#REF!*L94</f>
        <v>#REF!</v>
      </c>
      <c r="O94" s="10" t="e">
        <f aca="false">#REF!*H94</f>
        <v>#REF!</v>
      </c>
      <c r="P94" s="28" t="e">
        <f aca="false">#REF!*H94</f>
        <v>#REF!</v>
      </c>
      <c r="Q94" s="10" t="e">
        <f aca="false">Q39</f>
        <v>#REF!</v>
      </c>
      <c r="R94" s="10" t="n">
        <v>75.9</v>
      </c>
      <c r="S94" s="10" t="e">
        <f aca="false">#REF!</f>
        <v>#REF!</v>
      </c>
      <c r="T94" s="10" t="e">
        <f aca="false">#REF!</f>
        <v>#REF!</v>
      </c>
      <c r="U94" s="10" t="e">
        <f aca="false">#REF!</f>
        <v>#REF!</v>
      </c>
      <c r="V94" s="10" t="e">
        <f aca="false">#REF!</f>
        <v>#REF!</v>
      </c>
      <c r="W94" s="10" t="e">
        <f aca="false">#REF!</f>
        <v>#REF!</v>
      </c>
      <c r="X94" s="10" t="e">
        <f aca="false">#REF!</f>
        <v>#REF!</v>
      </c>
      <c r="Y94" s="10" t="e">
        <f aca="false">#REF!*E94</f>
        <v>#REF!</v>
      </c>
      <c r="Z94" s="10" t="e">
        <f aca="false">#REF!*D94</f>
        <v>#REF!</v>
      </c>
      <c r="AA94" s="10" t="e">
        <f aca="false">#REF!*E94*10*3</f>
        <v>#REF!</v>
      </c>
      <c r="AB94" s="10" t="e">
        <f aca="false">#REF!*E94*10</f>
        <v>#REF!</v>
      </c>
      <c r="AC94" s="10" t="e">
        <f aca="false">#REF!*D94*5</f>
        <v>#REF!</v>
      </c>
      <c r="AD94" s="10" t="e">
        <f aca="false">#REF!*D94*5</f>
        <v>#REF!</v>
      </c>
      <c r="AE94" s="10" t="e">
        <f aca="false">SUM(M94:AD94)</f>
        <v>#REF!</v>
      </c>
      <c r="AF94" s="14" t="n">
        <v>46002</v>
      </c>
      <c r="AG94" s="25" t="n">
        <v>45992</v>
      </c>
      <c r="AH94" s="15"/>
      <c r="AI94" s="15"/>
      <c r="AJ94" s="15"/>
      <c r="AK94" s="7" t="s">
        <v>420</v>
      </c>
      <c r="AL94" s="7" t="n">
        <v>2</v>
      </c>
      <c r="AM94" s="15"/>
      <c r="AN94" s="15"/>
      <c r="AO94" s="26" t="s">
        <v>88</v>
      </c>
      <c r="AP94" s="19" t="s">
        <v>89</v>
      </c>
      <c r="AQ94" s="15"/>
    </row>
    <row r="95" customFormat="false" ht="15.75" hidden="false" customHeight="false" outlineLevel="0" collapsed="false">
      <c r="A95" s="8" t="s">
        <v>421</v>
      </c>
      <c r="B95" s="8" t="s">
        <v>422</v>
      </c>
      <c r="C95" s="17" t="s">
        <v>423</v>
      </c>
      <c r="D95" s="15"/>
      <c r="E95" s="15"/>
      <c r="F95" s="10"/>
      <c r="G95" s="10"/>
      <c r="H95" s="15" t="n">
        <v>150</v>
      </c>
      <c r="I95" s="11" t="n">
        <v>1</v>
      </c>
      <c r="J95" s="10" t="e">
        <f aca="false">+I95*#REF!</f>
        <v>#REF!</v>
      </c>
      <c r="K95" s="7" t="s">
        <v>424</v>
      </c>
      <c r="L95" s="13" t="n">
        <v>3</v>
      </c>
      <c r="M95" s="28" t="e">
        <f aca="false">#REF!*L95</f>
        <v>#REF!</v>
      </c>
      <c r="N95" s="10" t="e">
        <f aca="false">#REF!*L95</f>
        <v>#REF!</v>
      </c>
      <c r="O95" s="10" t="e">
        <f aca="false">#REF!*H95</f>
        <v>#REF!</v>
      </c>
      <c r="P95" s="28" t="e">
        <f aca="false">#REF!*H95</f>
        <v>#REF!</v>
      </c>
      <c r="Q95" s="10" t="e">
        <f aca="false">Q40</f>
        <v>#REF!</v>
      </c>
      <c r="R95" s="10" t="n">
        <v>75.9</v>
      </c>
      <c r="S95" s="10"/>
      <c r="T95" s="10"/>
      <c r="U95" s="10"/>
      <c r="V95" s="10"/>
      <c r="W95" s="10"/>
      <c r="X95" s="10"/>
      <c r="Y95" s="10" t="e">
        <f aca="false">#REF!*E95</f>
        <v>#REF!</v>
      </c>
      <c r="Z95" s="10" t="e">
        <f aca="false">#REF!*D95</f>
        <v>#REF!</v>
      </c>
      <c r="AA95" s="10" t="e">
        <f aca="false">#REF!*E95*10*3</f>
        <v>#REF!</v>
      </c>
      <c r="AB95" s="10" t="e">
        <f aca="false">#REF!*E95*10</f>
        <v>#REF!</v>
      </c>
      <c r="AC95" s="10" t="e">
        <f aca="false">#REF!*D95*5</f>
        <v>#REF!</v>
      </c>
      <c r="AD95" s="10" t="e">
        <f aca="false">#REF!*D95*5</f>
        <v>#REF!</v>
      </c>
      <c r="AE95" s="10" t="e">
        <f aca="false">SUM(M95:AD95)</f>
        <v>#REF!</v>
      </c>
      <c r="AF95" s="14" t="n">
        <v>45390</v>
      </c>
      <c r="AG95" s="14" t="n">
        <v>45385</v>
      </c>
      <c r="AH95" s="14" t="n">
        <v>45390</v>
      </c>
      <c r="AI95" s="15"/>
      <c r="AJ95" s="15"/>
      <c r="AK95" s="7" t="s">
        <v>425</v>
      </c>
      <c r="AL95" s="7"/>
      <c r="AM95" s="15"/>
      <c r="AN95" s="15" t="n">
        <v>3</v>
      </c>
      <c r="AO95" s="26" t="s">
        <v>88</v>
      </c>
      <c r="AP95" s="19" t="s">
        <v>89</v>
      </c>
      <c r="AQ95" s="15"/>
    </row>
    <row r="96" customFormat="false" ht="15.75" hidden="false" customHeight="false" outlineLevel="0" collapsed="false">
      <c r="A96" s="8" t="s">
        <v>426</v>
      </c>
      <c r="B96" s="8" t="n">
        <v>2016</v>
      </c>
      <c r="C96" s="9" t="s">
        <v>427</v>
      </c>
      <c r="D96" s="15" t="n">
        <v>5</v>
      </c>
      <c r="E96" s="15"/>
      <c r="F96" s="22"/>
      <c r="G96" s="22"/>
      <c r="H96" s="15" t="n">
        <v>150</v>
      </c>
      <c r="I96" s="11" t="n">
        <v>1</v>
      </c>
      <c r="J96" s="10" t="e">
        <f aca="false">+I96*#REF!</f>
        <v>#REF!</v>
      </c>
      <c r="K96" s="7"/>
      <c r="L96" s="13" t="n">
        <v>4</v>
      </c>
      <c r="M96" s="28" t="e">
        <f aca="false">#REF!*L96</f>
        <v>#REF!</v>
      </c>
      <c r="N96" s="10" t="e">
        <f aca="false">#REF!*L96</f>
        <v>#REF!</v>
      </c>
      <c r="O96" s="10" t="e">
        <f aca="false">#REF!*H96</f>
        <v>#REF!</v>
      </c>
      <c r="P96" s="28" t="e">
        <f aca="false">#REF!*H96</f>
        <v>#REF!</v>
      </c>
      <c r="Q96" s="10" t="e">
        <f aca="false">Q41</f>
        <v>#REF!</v>
      </c>
      <c r="R96" s="10" t="n">
        <v>75.9</v>
      </c>
      <c r="S96" s="22"/>
      <c r="T96" s="22"/>
      <c r="U96" s="22"/>
      <c r="V96" s="22"/>
      <c r="W96" s="22"/>
      <c r="X96" s="22"/>
      <c r="Y96" s="10" t="e">
        <f aca="false">#REF!*E96</f>
        <v>#REF!</v>
      </c>
      <c r="Z96" s="10" t="e">
        <f aca="false">#REF!*D96</f>
        <v>#REF!</v>
      </c>
      <c r="AA96" s="10" t="e">
        <f aca="false">#REF!*E96*10*3</f>
        <v>#REF!</v>
      </c>
      <c r="AB96" s="10" t="e">
        <f aca="false">#REF!*E96*10</f>
        <v>#REF!</v>
      </c>
      <c r="AC96" s="10" t="e">
        <f aca="false">#REF!*D96*5</f>
        <v>#REF!</v>
      </c>
      <c r="AD96" s="10" t="e">
        <f aca="false">#REF!*D96*5</f>
        <v>#REF!</v>
      </c>
      <c r="AE96" s="10" t="e">
        <f aca="false">SUM(M96:AD96)</f>
        <v>#REF!</v>
      </c>
      <c r="AF96" s="15"/>
      <c r="AG96" s="15"/>
      <c r="AH96" s="15"/>
      <c r="AI96" s="15"/>
      <c r="AJ96" s="15"/>
      <c r="AK96" s="7"/>
      <c r="AL96" s="7"/>
      <c r="AM96" s="15"/>
      <c r="AN96" s="15"/>
      <c r="AO96" s="15" t="s">
        <v>66</v>
      </c>
      <c r="AP96" s="15"/>
      <c r="AQ96" s="15"/>
    </row>
    <row r="97" customFormat="false" ht="15.75" hidden="false" customHeight="false" outlineLevel="0" collapsed="false">
      <c r="A97" s="8" t="s">
        <v>428</v>
      </c>
      <c r="B97" s="8" t="n">
        <v>2074</v>
      </c>
      <c r="C97" s="9" t="s">
        <v>429</v>
      </c>
      <c r="D97" s="15" t="n">
        <v>5</v>
      </c>
      <c r="E97" s="15"/>
      <c r="F97" s="22"/>
      <c r="G97" s="22"/>
      <c r="H97" s="15" t="n">
        <v>150</v>
      </c>
      <c r="I97" s="11" t="n">
        <v>1</v>
      </c>
      <c r="J97" s="10" t="e">
        <f aca="false">+I97*#REF!</f>
        <v>#REF!</v>
      </c>
      <c r="K97" s="7"/>
      <c r="L97" s="13" t="n">
        <v>3</v>
      </c>
      <c r="M97" s="28" t="e">
        <f aca="false">#REF!*L97</f>
        <v>#REF!</v>
      </c>
      <c r="N97" s="10" t="e">
        <f aca="false">#REF!*L97</f>
        <v>#REF!</v>
      </c>
      <c r="O97" s="10" t="e">
        <f aca="false">#REF!*H97</f>
        <v>#REF!</v>
      </c>
      <c r="P97" s="28" t="e">
        <f aca="false">#REF!*H97</f>
        <v>#REF!</v>
      </c>
      <c r="Q97" s="10" t="e">
        <f aca="false">Q42</f>
        <v>#REF!</v>
      </c>
      <c r="R97" s="10" t="n">
        <v>75.9</v>
      </c>
      <c r="S97" s="22"/>
      <c r="T97" s="22"/>
      <c r="U97" s="22"/>
      <c r="V97" s="22"/>
      <c r="W97" s="22"/>
      <c r="X97" s="22"/>
      <c r="Y97" s="10" t="e">
        <f aca="false">#REF!*E97</f>
        <v>#REF!</v>
      </c>
      <c r="Z97" s="10" t="e">
        <f aca="false">#REF!*D97</f>
        <v>#REF!</v>
      </c>
      <c r="AA97" s="10" t="e">
        <f aca="false">#REF!*E97*10*3</f>
        <v>#REF!</v>
      </c>
      <c r="AB97" s="10" t="e">
        <f aca="false">#REF!*E97*10</f>
        <v>#REF!</v>
      </c>
      <c r="AC97" s="10" t="e">
        <f aca="false">#REF!*D97*5</f>
        <v>#REF!</v>
      </c>
      <c r="AD97" s="10" t="e">
        <f aca="false">#REF!*D97*5</f>
        <v>#REF!</v>
      </c>
      <c r="AE97" s="10" t="e">
        <f aca="false">SUM(M97:AD97)</f>
        <v>#REF!</v>
      </c>
      <c r="AF97" s="20" t="s">
        <v>316</v>
      </c>
      <c r="AG97" s="27"/>
      <c r="AH97" s="27"/>
      <c r="AI97" s="27"/>
      <c r="AJ97" s="27"/>
      <c r="AK97" s="7"/>
      <c r="AL97" s="7"/>
      <c r="AM97" s="15"/>
      <c r="AN97" s="15"/>
      <c r="AO97" s="15" t="s">
        <v>66</v>
      </c>
      <c r="AP97" s="15"/>
      <c r="AQ97" s="15"/>
    </row>
    <row r="98" customFormat="false" ht="15.75" hidden="false" customHeight="false" outlineLevel="0" collapsed="false">
      <c r="L98" s="3" t="n">
        <f aca="false">SUM(L2:L97)</f>
        <v>348</v>
      </c>
      <c r="AK98" s="29"/>
      <c r="AL98" s="29"/>
    </row>
    <row r="99" customFormat="false" ht="15.75" hidden="false" customHeight="false" outlineLevel="0" collapsed="false">
      <c r="AK99" s="29"/>
      <c r="AL99" s="29"/>
    </row>
    <row r="100" customFormat="false" ht="15.75" hidden="false" customHeight="false" outlineLevel="0" collapsed="false">
      <c r="AE100" s="30"/>
      <c r="AK100" s="29"/>
      <c r="AL100" s="29"/>
    </row>
    <row r="101" customFormat="false" ht="15.75" hidden="false" customHeight="false" outlineLevel="0" collapsed="false">
      <c r="AE101" s="30"/>
      <c r="AK101" s="29"/>
      <c r="AL101" s="29"/>
    </row>
    <row r="102" customFormat="false" ht="15.75" hidden="false" customHeight="false" outlineLevel="0" collapsed="false">
      <c r="AE102" s="31"/>
      <c r="AK102" s="29"/>
      <c r="AL102" s="29"/>
    </row>
    <row r="103" customFormat="false" ht="15.75" hidden="false" customHeight="false" outlineLevel="0" collapsed="false">
      <c r="AE103" s="30"/>
    </row>
    <row r="104" customFormat="false" ht="15.75" hidden="false" customHeight="false" outlineLevel="0" collapsed="false">
      <c r="AE104" s="30"/>
    </row>
    <row r="105" customFormat="false" ht="15.75" hidden="false" customHeight="false" outlineLevel="0" collapsed="false">
      <c r="AE105" s="30"/>
    </row>
    <row r="107" customFormat="false" ht="15.75" hidden="false" customHeight="false" outlineLevel="0" collapsed="false">
      <c r="AB107" s="30"/>
      <c r="AE107" s="30"/>
    </row>
  </sheetData>
  <autoFilter ref="A1:AQ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5390625" defaultRowHeight="15.75" customHeight="true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9"/>
    <col collapsed="false" customWidth="true" hidden="false" outlineLevel="0" max="3" min="3" style="0" width="67"/>
    <col collapsed="false" customWidth="true" hidden="false" outlineLevel="0" max="4" min="4" style="1" width="20.33"/>
    <col collapsed="false" customWidth="true" hidden="false" outlineLevel="0" max="5" min="5" style="3" width="17.16"/>
    <col collapsed="false" customWidth="true" hidden="false" outlineLevel="0" max="6" min="6" style="0" width="89.83"/>
    <col collapsed="false" customWidth="true" hidden="false" outlineLevel="0" max="7" min="7" style="0" width="10.5"/>
  </cols>
  <sheetData>
    <row r="1" customFormat="false" ht="15.75" hidden="false" customHeight="false" outlineLevel="0" collapsed="false">
      <c r="A1" s="32" t="s">
        <v>0</v>
      </c>
      <c r="B1" s="33" t="s">
        <v>1</v>
      </c>
      <c r="C1" s="33" t="s">
        <v>2</v>
      </c>
      <c r="D1" s="33" t="s">
        <v>10</v>
      </c>
      <c r="E1" s="34" t="s">
        <v>11</v>
      </c>
      <c r="F1" s="35" t="s">
        <v>430</v>
      </c>
    </row>
    <row r="2" customFormat="false" ht="15.75" hidden="false" customHeight="false" outlineLevel="0" collapsed="false">
      <c r="A2" s="36" t="n">
        <v>1</v>
      </c>
      <c r="B2" s="37" t="s">
        <v>42</v>
      </c>
      <c r="C2" s="38" t="s">
        <v>43</v>
      </c>
      <c r="D2" s="39" t="s">
        <v>44</v>
      </c>
      <c r="E2" s="40" t="n">
        <v>4</v>
      </c>
      <c r="F2" s="41" t="s">
        <v>431</v>
      </c>
    </row>
    <row r="3" customFormat="false" ht="15.75" hidden="false" customHeight="false" outlineLevel="0" collapsed="false">
      <c r="A3" s="7" t="n">
        <v>2</v>
      </c>
      <c r="B3" s="8" t="s">
        <v>49</v>
      </c>
      <c r="C3" s="9" t="s">
        <v>50</v>
      </c>
      <c r="D3" s="12" t="s">
        <v>51</v>
      </c>
      <c r="E3" s="13" t="n">
        <v>3</v>
      </c>
      <c r="F3" s="42" t="s">
        <v>432</v>
      </c>
    </row>
    <row r="4" customFormat="false" ht="15.75" hidden="false" customHeight="false" outlineLevel="0" collapsed="false">
      <c r="A4" s="7" t="n">
        <v>3</v>
      </c>
      <c r="B4" s="8" t="s">
        <v>53</v>
      </c>
      <c r="C4" s="9" t="s">
        <v>54</v>
      </c>
      <c r="D4" s="7" t="s">
        <v>55</v>
      </c>
      <c r="E4" s="13" t="n">
        <v>4</v>
      </c>
      <c r="F4" s="42" t="s">
        <v>433</v>
      </c>
    </row>
    <row r="5" customFormat="false" ht="15.75" hidden="false" customHeight="false" outlineLevel="0" collapsed="false">
      <c r="A5" s="7" t="n">
        <v>4</v>
      </c>
      <c r="B5" s="8" t="s">
        <v>57</v>
      </c>
      <c r="C5" s="9" t="s">
        <v>58</v>
      </c>
      <c r="D5" s="7" t="s">
        <v>59</v>
      </c>
      <c r="E5" s="13" t="n">
        <v>4</v>
      </c>
      <c r="F5" s="42" t="s">
        <v>434</v>
      </c>
    </row>
    <row r="6" customFormat="false" ht="15.75" hidden="false" customHeight="false" outlineLevel="0" collapsed="false">
      <c r="A6" s="7" t="n">
        <v>5</v>
      </c>
      <c r="B6" s="8" t="s">
        <v>62</v>
      </c>
      <c r="C6" s="9" t="s">
        <v>63</v>
      </c>
      <c r="D6" s="7" t="s">
        <v>64</v>
      </c>
      <c r="E6" s="13" t="n">
        <v>6</v>
      </c>
      <c r="F6" s="43" t="s">
        <v>435</v>
      </c>
      <c r="G6" s="44" t="n">
        <v>45258</v>
      </c>
    </row>
    <row r="7" customFormat="false" ht="15.75" hidden="false" customHeight="false" outlineLevel="0" collapsed="false">
      <c r="A7" s="7" t="n">
        <v>6</v>
      </c>
      <c r="B7" s="8" t="s">
        <v>67</v>
      </c>
      <c r="C7" s="9" t="s">
        <v>68</v>
      </c>
      <c r="D7" s="7" t="s">
        <v>69</v>
      </c>
      <c r="E7" s="13" t="n">
        <v>4</v>
      </c>
      <c r="F7" s="42" t="s">
        <v>436</v>
      </c>
    </row>
    <row r="8" customFormat="false" ht="15.75" hidden="false" customHeight="false" outlineLevel="0" collapsed="false">
      <c r="A8" s="7" t="n">
        <v>7</v>
      </c>
      <c r="B8" s="8" t="s">
        <v>72</v>
      </c>
      <c r="C8" s="9" t="s">
        <v>73</v>
      </c>
      <c r="D8" s="7" t="s">
        <v>74</v>
      </c>
      <c r="E8" s="13" t="n">
        <v>4</v>
      </c>
      <c r="F8" s="43" t="s">
        <v>435</v>
      </c>
      <c r="G8" s="44" t="n">
        <v>45259</v>
      </c>
    </row>
    <row r="9" customFormat="false" ht="15.75" hidden="false" customHeight="false" outlineLevel="0" collapsed="false">
      <c r="A9" s="7" t="n">
        <v>8</v>
      </c>
      <c r="B9" s="8" t="s">
        <v>76</v>
      </c>
      <c r="C9" s="9" t="s">
        <v>77</v>
      </c>
      <c r="D9" s="7" t="s">
        <v>78</v>
      </c>
      <c r="E9" s="13" t="n">
        <v>2</v>
      </c>
      <c r="F9" s="43" t="s">
        <v>435</v>
      </c>
    </row>
    <row r="10" customFormat="false" ht="15.75" hidden="false" customHeight="false" outlineLevel="0" collapsed="false">
      <c r="A10" s="7" t="n">
        <v>9</v>
      </c>
      <c r="B10" s="8" t="s">
        <v>80</v>
      </c>
      <c r="C10" s="9" t="s">
        <v>81</v>
      </c>
      <c r="D10" s="7" t="s">
        <v>82</v>
      </c>
      <c r="E10" s="13" t="n">
        <v>4</v>
      </c>
      <c r="F10" s="43" t="s">
        <v>435</v>
      </c>
    </row>
    <row r="11" customFormat="false" ht="15.75" hidden="false" customHeight="false" outlineLevel="0" collapsed="false">
      <c r="A11" s="7" t="n">
        <v>10</v>
      </c>
      <c r="B11" s="8" t="s">
        <v>84</v>
      </c>
      <c r="C11" s="9" t="s">
        <v>85</v>
      </c>
      <c r="D11" s="7" t="s">
        <v>315</v>
      </c>
      <c r="E11" s="13" t="n">
        <v>3</v>
      </c>
      <c r="F11" s="43" t="s">
        <v>435</v>
      </c>
      <c r="G11" s="44" t="n">
        <v>45260</v>
      </c>
    </row>
    <row r="12" customFormat="false" ht="15.75" hidden="false" customHeight="false" outlineLevel="0" collapsed="false">
      <c r="A12" s="7" t="n">
        <v>11</v>
      </c>
      <c r="B12" s="8" t="s">
        <v>90</v>
      </c>
      <c r="C12" s="9" t="s">
        <v>91</v>
      </c>
      <c r="D12" s="12" t="s">
        <v>92</v>
      </c>
      <c r="E12" s="13" t="n">
        <v>3</v>
      </c>
      <c r="F12" s="43" t="s">
        <v>435</v>
      </c>
    </row>
    <row r="13" customFormat="false" ht="15.75" hidden="false" customHeight="false" outlineLevel="0" collapsed="false">
      <c r="A13" s="7" t="n">
        <v>12</v>
      </c>
      <c r="B13" s="8" t="s">
        <v>94</v>
      </c>
      <c r="C13" s="9" t="s">
        <v>95</v>
      </c>
      <c r="D13" s="12" t="s">
        <v>96</v>
      </c>
      <c r="E13" s="13" t="n">
        <v>4</v>
      </c>
      <c r="F13" s="42" t="s">
        <v>437</v>
      </c>
    </row>
    <row r="14" customFormat="false" ht="15.75" hidden="false" customHeight="false" outlineLevel="0" collapsed="false">
      <c r="A14" s="7" t="n">
        <v>13</v>
      </c>
      <c r="B14" s="8" t="s">
        <v>99</v>
      </c>
      <c r="C14" s="9" t="s">
        <v>100</v>
      </c>
      <c r="D14" s="12" t="s">
        <v>101</v>
      </c>
      <c r="E14" s="13" t="n">
        <v>3</v>
      </c>
      <c r="F14" s="42" t="s">
        <v>432</v>
      </c>
    </row>
    <row r="15" customFormat="false" ht="15.75" hidden="false" customHeight="false" outlineLevel="0" collapsed="false">
      <c r="A15" s="7" t="n">
        <v>14</v>
      </c>
      <c r="B15" s="8" t="s">
        <v>103</v>
      </c>
      <c r="C15" s="9" t="s">
        <v>104</v>
      </c>
      <c r="D15" s="12" t="s">
        <v>105</v>
      </c>
      <c r="E15" s="13" t="n">
        <v>4</v>
      </c>
      <c r="F15" s="42" t="s">
        <v>438</v>
      </c>
    </row>
    <row r="16" customFormat="false" ht="15.75" hidden="false" customHeight="false" outlineLevel="0" collapsed="false">
      <c r="A16" s="7" t="n">
        <v>15</v>
      </c>
      <c r="B16" s="8" t="s">
        <v>108</v>
      </c>
      <c r="C16" s="9" t="s">
        <v>109</v>
      </c>
      <c r="D16" s="12" t="s">
        <v>110</v>
      </c>
      <c r="E16" s="13" t="n">
        <v>3</v>
      </c>
      <c r="F16" s="42" t="s">
        <v>439</v>
      </c>
    </row>
    <row r="17" customFormat="false" ht="15.75" hidden="false" customHeight="false" outlineLevel="0" collapsed="false">
      <c r="A17" s="7" t="n">
        <v>16</v>
      </c>
      <c r="B17" s="8" t="s">
        <v>113</v>
      </c>
      <c r="C17" s="9" t="s">
        <v>114</v>
      </c>
      <c r="D17" s="12" t="s">
        <v>115</v>
      </c>
      <c r="E17" s="13" t="n">
        <v>2</v>
      </c>
      <c r="F17" s="45" t="s">
        <v>440</v>
      </c>
    </row>
    <row r="18" customFormat="false" ht="15.75" hidden="false" customHeight="false" outlineLevel="0" collapsed="false">
      <c r="A18" s="7" t="n">
        <v>17</v>
      </c>
      <c r="B18" s="8" t="s">
        <v>117</v>
      </c>
      <c r="C18" s="9" t="s">
        <v>118</v>
      </c>
      <c r="D18" s="12" t="s">
        <v>119</v>
      </c>
      <c r="E18" s="13" t="n">
        <v>7</v>
      </c>
      <c r="F18" s="42" t="s">
        <v>441</v>
      </c>
    </row>
    <row r="19" customFormat="false" ht="15.75" hidden="false" customHeight="false" outlineLevel="0" collapsed="false">
      <c r="A19" s="7" t="n">
        <v>18</v>
      </c>
      <c r="B19" s="8" t="s">
        <v>121</v>
      </c>
      <c r="C19" s="9" t="s">
        <v>122</v>
      </c>
      <c r="D19" s="12" t="s">
        <v>123</v>
      </c>
      <c r="E19" s="13" t="n">
        <v>3</v>
      </c>
      <c r="F19" s="42" t="s">
        <v>441</v>
      </c>
    </row>
    <row r="20" customFormat="false" ht="15.75" hidden="false" customHeight="false" outlineLevel="0" collapsed="false">
      <c r="A20" s="7" t="n">
        <v>19</v>
      </c>
      <c r="B20" s="8" t="s">
        <v>125</v>
      </c>
      <c r="C20" s="9" t="s">
        <v>126</v>
      </c>
      <c r="D20" s="12" t="s">
        <v>127</v>
      </c>
      <c r="E20" s="13" t="n">
        <v>4</v>
      </c>
      <c r="F20" s="42" t="s">
        <v>442</v>
      </c>
    </row>
    <row r="21" customFormat="false" ht="15.75" hidden="false" customHeight="false" outlineLevel="0" collapsed="false">
      <c r="A21" s="7" t="n">
        <v>20</v>
      </c>
      <c r="B21" s="8" t="s">
        <v>129</v>
      </c>
      <c r="C21" s="9" t="s">
        <v>130</v>
      </c>
      <c r="D21" s="12" t="s">
        <v>131</v>
      </c>
      <c r="E21" s="13" t="n">
        <v>5</v>
      </c>
      <c r="F21" s="42" t="s">
        <v>33</v>
      </c>
    </row>
    <row r="22" customFormat="false" ht="15.75" hidden="false" customHeight="false" outlineLevel="0" collapsed="false">
      <c r="A22" s="7" t="n">
        <v>21</v>
      </c>
      <c r="B22" s="8" t="s">
        <v>133</v>
      </c>
      <c r="C22" s="9" t="s">
        <v>134</v>
      </c>
      <c r="D22" s="15"/>
      <c r="E22" s="13" t="n">
        <v>4</v>
      </c>
      <c r="F22" s="42" t="s">
        <v>443</v>
      </c>
    </row>
    <row r="23" customFormat="false" ht="15.75" hidden="false" customHeight="false" outlineLevel="0" collapsed="false">
      <c r="A23" s="7" t="n">
        <v>22</v>
      </c>
      <c r="B23" s="8" t="s">
        <v>137</v>
      </c>
      <c r="C23" s="9" t="s">
        <v>138</v>
      </c>
      <c r="D23" s="15"/>
      <c r="E23" s="13" t="n">
        <v>4</v>
      </c>
      <c r="F23" s="42" t="s">
        <v>443</v>
      </c>
    </row>
    <row r="24" customFormat="false" ht="15.75" hidden="false" customHeight="false" outlineLevel="0" collapsed="false">
      <c r="A24" s="7" t="n">
        <v>23</v>
      </c>
      <c r="B24" s="8" t="s">
        <v>141</v>
      </c>
      <c r="C24" s="9" t="s">
        <v>142</v>
      </c>
      <c r="D24" s="15"/>
      <c r="E24" s="13" t="n">
        <v>4</v>
      </c>
      <c r="F24" s="46" t="s">
        <v>440</v>
      </c>
    </row>
    <row r="25" customFormat="false" ht="15.75" hidden="false" customHeight="false" outlineLevel="0" collapsed="false">
      <c r="A25" s="7" t="n">
        <v>24</v>
      </c>
      <c r="B25" s="8" t="s">
        <v>145</v>
      </c>
      <c r="C25" s="9" t="s">
        <v>146</v>
      </c>
      <c r="D25" s="15"/>
      <c r="E25" s="13" t="n">
        <v>4</v>
      </c>
      <c r="F25" s="47" t="s">
        <v>444</v>
      </c>
    </row>
    <row r="26" customFormat="false" ht="15.75" hidden="false" customHeight="false" outlineLevel="0" collapsed="false">
      <c r="A26" s="7" t="n">
        <v>25</v>
      </c>
      <c r="B26" s="8" t="s">
        <v>150</v>
      </c>
      <c r="C26" s="9" t="s">
        <v>151</v>
      </c>
      <c r="D26" s="15"/>
      <c r="E26" s="13" t="n">
        <v>4</v>
      </c>
      <c r="F26" s="48" t="s">
        <v>441</v>
      </c>
    </row>
    <row r="27" customFormat="false" ht="15.75" hidden="false" customHeight="false" outlineLevel="0" collapsed="false">
      <c r="A27" s="7" t="n">
        <v>26</v>
      </c>
      <c r="B27" s="8" t="s">
        <v>154</v>
      </c>
      <c r="C27" s="9" t="s">
        <v>155</v>
      </c>
      <c r="D27" s="15"/>
      <c r="E27" s="13" t="n">
        <v>4</v>
      </c>
      <c r="F27" s="43" t="s">
        <v>435</v>
      </c>
    </row>
    <row r="28" customFormat="false" ht="15.75" hidden="false" customHeight="false" outlineLevel="0" collapsed="false">
      <c r="A28" s="7" t="n">
        <v>27</v>
      </c>
      <c r="B28" s="8" t="s">
        <v>158</v>
      </c>
      <c r="C28" s="9" t="s">
        <v>159</v>
      </c>
      <c r="D28" s="15"/>
      <c r="E28" s="13" t="n">
        <v>4</v>
      </c>
      <c r="F28" s="49" t="s">
        <v>445</v>
      </c>
    </row>
    <row r="29" customFormat="false" ht="15.75" hidden="false" customHeight="false" outlineLevel="0" collapsed="false">
      <c r="A29" s="7" t="n">
        <v>28</v>
      </c>
      <c r="B29" s="8" t="s">
        <v>164</v>
      </c>
      <c r="C29" s="9" t="s">
        <v>165</v>
      </c>
      <c r="D29" s="15"/>
      <c r="E29" s="13" t="n">
        <v>3</v>
      </c>
      <c r="F29" s="43" t="s">
        <v>435</v>
      </c>
    </row>
    <row r="30" customFormat="false" ht="15.75" hidden="false" customHeight="false" outlineLevel="0" collapsed="false">
      <c r="A30" s="7" t="n">
        <v>29</v>
      </c>
      <c r="B30" s="8" t="s">
        <v>168</v>
      </c>
      <c r="C30" s="9" t="s">
        <v>169</v>
      </c>
      <c r="D30" s="15"/>
      <c r="E30" s="13" t="n">
        <v>4</v>
      </c>
      <c r="F30" s="45" t="s">
        <v>440</v>
      </c>
    </row>
    <row r="31" customFormat="false" ht="15.75" hidden="false" customHeight="false" outlineLevel="0" collapsed="false">
      <c r="A31" s="7" t="n">
        <v>30</v>
      </c>
      <c r="B31" s="8" t="s">
        <v>172</v>
      </c>
      <c r="C31" s="9" t="s">
        <v>173</v>
      </c>
      <c r="D31" s="15"/>
      <c r="E31" s="13" t="n">
        <v>4</v>
      </c>
      <c r="F31" s="43" t="s">
        <v>435</v>
      </c>
    </row>
    <row r="32" customFormat="false" ht="15.75" hidden="false" customHeight="false" outlineLevel="0" collapsed="false">
      <c r="A32" s="7" t="n">
        <v>31</v>
      </c>
      <c r="B32" s="8" t="s">
        <v>176</v>
      </c>
      <c r="C32" s="9" t="s">
        <v>177</v>
      </c>
      <c r="D32" s="15"/>
      <c r="E32" s="13" t="n">
        <v>4</v>
      </c>
      <c r="F32" s="50" t="s">
        <v>446</v>
      </c>
    </row>
    <row r="33" customFormat="false" ht="15.75" hidden="false" customHeight="false" outlineLevel="0" collapsed="false">
      <c r="A33" s="7" t="n">
        <v>32</v>
      </c>
      <c r="B33" s="8" t="s">
        <v>180</v>
      </c>
      <c r="C33" s="9" t="s">
        <v>181</v>
      </c>
      <c r="D33" s="15"/>
      <c r="E33" s="13" t="n">
        <v>3</v>
      </c>
      <c r="F33" s="42" t="s">
        <v>432</v>
      </c>
    </row>
    <row r="34" customFormat="false" ht="15.75" hidden="false" customHeight="false" outlineLevel="0" collapsed="false">
      <c r="A34" s="7" t="n">
        <v>33</v>
      </c>
      <c r="B34" s="8" t="s">
        <v>184</v>
      </c>
      <c r="C34" s="9" t="s">
        <v>185</v>
      </c>
      <c r="D34" s="15"/>
      <c r="E34" s="13" t="n">
        <v>4</v>
      </c>
      <c r="F34" s="50" t="s">
        <v>446</v>
      </c>
    </row>
    <row r="35" customFormat="false" ht="15.75" hidden="false" customHeight="false" outlineLevel="0" collapsed="false">
      <c r="A35" s="7" t="n">
        <v>34</v>
      </c>
      <c r="B35" s="8" t="s">
        <v>188</v>
      </c>
      <c r="C35" s="9" t="s">
        <v>189</v>
      </c>
      <c r="D35" s="15"/>
      <c r="E35" s="13" t="n">
        <v>3</v>
      </c>
      <c r="F35" s="42" t="s">
        <v>447</v>
      </c>
    </row>
    <row r="36" customFormat="false" ht="15.75" hidden="false" customHeight="false" outlineLevel="0" collapsed="false">
      <c r="A36" s="7" t="n">
        <v>35</v>
      </c>
      <c r="B36" s="8" t="s">
        <v>192</v>
      </c>
      <c r="C36" s="9" t="s">
        <v>193</v>
      </c>
      <c r="D36" s="15"/>
      <c r="E36" s="13" t="n">
        <v>3</v>
      </c>
      <c r="F36" s="42" t="s">
        <v>432</v>
      </c>
    </row>
    <row r="37" customFormat="false" ht="15.75" hidden="false" customHeight="false" outlineLevel="0" collapsed="false">
      <c r="A37" s="7" t="n">
        <v>36</v>
      </c>
      <c r="B37" s="8" t="s">
        <v>196</v>
      </c>
      <c r="C37" s="9" t="s">
        <v>197</v>
      </c>
      <c r="D37" s="15"/>
      <c r="E37" s="13" t="n">
        <v>3</v>
      </c>
      <c r="F37" s="42" t="s">
        <v>448</v>
      </c>
    </row>
    <row r="38" customFormat="false" ht="15.75" hidden="false" customHeight="false" outlineLevel="0" collapsed="false">
      <c r="A38" s="7" t="n">
        <v>37</v>
      </c>
      <c r="B38" s="8" t="s">
        <v>200</v>
      </c>
      <c r="C38" s="9" t="s">
        <v>201</v>
      </c>
      <c r="D38" s="15"/>
      <c r="E38" s="13" t="n">
        <v>4</v>
      </c>
      <c r="F38" s="50" t="s">
        <v>449</v>
      </c>
    </row>
    <row r="39" customFormat="false" ht="15.75" hidden="false" customHeight="false" outlineLevel="0" collapsed="false">
      <c r="A39" s="7" t="n">
        <v>38</v>
      </c>
      <c r="B39" s="8" t="s">
        <v>204</v>
      </c>
      <c r="C39" s="9" t="s">
        <v>205</v>
      </c>
      <c r="D39" s="15"/>
      <c r="E39" s="13" t="n">
        <v>4</v>
      </c>
      <c r="F39" s="50" t="s">
        <v>449</v>
      </c>
    </row>
    <row r="40" customFormat="false" ht="15.75" hidden="false" customHeight="false" outlineLevel="0" collapsed="false">
      <c r="A40" s="7" t="n">
        <v>39</v>
      </c>
      <c r="B40" s="8" t="s">
        <v>208</v>
      </c>
      <c r="C40" s="9" t="s">
        <v>209</v>
      </c>
      <c r="D40" s="15"/>
      <c r="E40" s="13" t="n">
        <v>4</v>
      </c>
      <c r="F40" s="50" t="s">
        <v>449</v>
      </c>
    </row>
    <row r="41" customFormat="false" ht="15.75" hidden="false" customHeight="false" outlineLevel="0" collapsed="false">
      <c r="A41" s="7" t="n">
        <v>40</v>
      </c>
      <c r="B41" s="8" t="s">
        <v>213</v>
      </c>
      <c r="C41" s="9" t="s">
        <v>214</v>
      </c>
      <c r="D41" s="15"/>
      <c r="E41" s="13" t="n">
        <v>4</v>
      </c>
      <c r="F41" s="50" t="s">
        <v>449</v>
      </c>
    </row>
    <row r="42" customFormat="false" ht="15.75" hidden="false" customHeight="false" outlineLevel="0" collapsed="false">
      <c r="A42" s="7" t="n">
        <v>41</v>
      </c>
      <c r="B42" s="8" t="s">
        <v>217</v>
      </c>
      <c r="C42" s="9" t="s">
        <v>218</v>
      </c>
      <c r="D42" s="15"/>
      <c r="E42" s="13" t="n">
        <v>4</v>
      </c>
      <c r="F42" s="50" t="s">
        <v>449</v>
      </c>
    </row>
    <row r="43" customFormat="false" ht="15.75" hidden="false" customHeight="false" outlineLevel="0" collapsed="false">
      <c r="A43" s="7" t="n">
        <v>42</v>
      </c>
      <c r="B43" s="8" t="s">
        <v>222</v>
      </c>
      <c r="C43" s="9" t="s">
        <v>223</v>
      </c>
      <c r="D43" s="15"/>
      <c r="E43" s="13" t="n">
        <v>4</v>
      </c>
      <c r="F43" s="45" t="s">
        <v>450</v>
      </c>
    </row>
    <row r="44" customFormat="false" ht="15.75" hidden="false" customHeight="false" outlineLevel="0" collapsed="false">
      <c r="A44" s="7" t="n">
        <v>43</v>
      </c>
      <c r="B44" s="8" t="s">
        <v>226</v>
      </c>
      <c r="C44" s="9" t="s">
        <v>227</v>
      </c>
      <c r="D44" s="15"/>
      <c r="E44" s="13" t="n">
        <v>3</v>
      </c>
      <c r="F44" s="43" t="s">
        <v>435</v>
      </c>
    </row>
    <row r="45" customFormat="false" ht="15.75" hidden="false" customHeight="false" outlineLevel="0" collapsed="false">
      <c r="A45" s="7" t="n">
        <v>44</v>
      </c>
      <c r="B45" s="8" t="s">
        <v>230</v>
      </c>
      <c r="C45" s="9" t="s">
        <v>451</v>
      </c>
      <c r="D45" s="15"/>
      <c r="E45" s="13" t="n">
        <v>3</v>
      </c>
      <c r="F45" s="43" t="s">
        <v>435</v>
      </c>
    </row>
    <row r="46" customFormat="false" ht="15.75" hidden="false" customHeight="false" outlineLevel="0" collapsed="false">
      <c r="A46" s="7" t="n">
        <v>45</v>
      </c>
      <c r="B46" s="8" t="s">
        <v>234</v>
      </c>
      <c r="C46" s="9" t="s">
        <v>235</v>
      </c>
      <c r="D46" s="15"/>
      <c r="E46" s="13" t="n">
        <v>6</v>
      </c>
      <c r="F46" s="43" t="s">
        <v>435</v>
      </c>
    </row>
    <row r="47" customFormat="false" ht="15.75" hidden="false" customHeight="false" outlineLevel="0" collapsed="false">
      <c r="A47" s="7" t="n">
        <v>46</v>
      </c>
      <c r="B47" s="8" t="s">
        <v>238</v>
      </c>
      <c r="C47" s="9" t="s">
        <v>239</v>
      </c>
      <c r="D47" s="15"/>
      <c r="E47" s="13" t="n">
        <v>3</v>
      </c>
      <c r="F47" s="43" t="s">
        <v>435</v>
      </c>
    </row>
    <row r="48" customFormat="false" ht="15.75" hidden="false" customHeight="false" outlineLevel="0" collapsed="false">
      <c r="A48" s="7" t="n">
        <v>47</v>
      </c>
      <c r="B48" s="8" t="s">
        <v>241</v>
      </c>
      <c r="C48" s="9" t="s">
        <v>242</v>
      </c>
      <c r="D48" s="15"/>
      <c r="E48" s="13" t="n">
        <v>3</v>
      </c>
      <c r="F48" s="43" t="s">
        <v>435</v>
      </c>
    </row>
    <row r="49" customFormat="false" ht="15.75" hidden="false" customHeight="false" outlineLevel="0" collapsed="false">
      <c r="A49" s="7" t="n">
        <v>48</v>
      </c>
      <c r="B49" s="8" t="n">
        <v>3097</v>
      </c>
      <c r="C49" s="9" t="s">
        <v>244</v>
      </c>
      <c r="D49" s="15"/>
      <c r="E49" s="13" t="n">
        <v>2</v>
      </c>
      <c r="F49" s="43" t="s">
        <v>435</v>
      </c>
    </row>
    <row r="50" customFormat="false" ht="15.75" hidden="false" customHeight="false" outlineLevel="0" collapsed="false">
      <c r="A50" s="7" t="n">
        <v>49</v>
      </c>
      <c r="B50" s="8" t="n">
        <v>4123</v>
      </c>
      <c r="C50" s="9" t="s">
        <v>245</v>
      </c>
      <c r="D50" s="15"/>
      <c r="E50" s="13" t="n">
        <v>4</v>
      </c>
      <c r="F50" s="43" t="s">
        <v>435</v>
      </c>
    </row>
    <row r="51" customFormat="false" ht="15.75" hidden="false" customHeight="false" outlineLevel="0" collapsed="false">
      <c r="A51" s="7" t="n">
        <v>50</v>
      </c>
      <c r="B51" s="8" t="n">
        <v>4006</v>
      </c>
      <c r="C51" s="9" t="s">
        <v>246</v>
      </c>
      <c r="D51" s="15"/>
      <c r="E51" s="13" t="n">
        <v>4</v>
      </c>
      <c r="F51" s="43" t="s">
        <v>435</v>
      </c>
    </row>
    <row r="52" customFormat="false" ht="15.75" hidden="false" customHeight="false" outlineLevel="0" collapsed="false">
      <c r="A52" s="7" t="n">
        <v>51</v>
      </c>
      <c r="B52" s="8" t="n">
        <v>2079</v>
      </c>
      <c r="C52" s="9" t="s">
        <v>247</v>
      </c>
      <c r="D52" s="15"/>
      <c r="E52" s="13" t="n">
        <v>2</v>
      </c>
      <c r="F52" s="43" t="s">
        <v>435</v>
      </c>
    </row>
    <row r="53" customFormat="false" ht="15.75" hidden="false" customHeight="false" outlineLevel="0" collapsed="false">
      <c r="A53" s="7" t="n">
        <v>52</v>
      </c>
      <c r="B53" s="8" t="n">
        <v>4140</v>
      </c>
      <c r="C53" s="9" t="s">
        <v>452</v>
      </c>
      <c r="D53" s="15"/>
      <c r="E53" s="13" t="n">
        <v>2</v>
      </c>
      <c r="F53" s="43" t="s">
        <v>435</v>
      </c>
    </row>
    <row r="54" customFormat="false" ht="15.75" hidden="false" customHeight="false" outlineLevel="0" collapsed="false">
      <c r="A54" s="7" t="n">
        <v>53</v>
      </c>
      <c r="B54" s="8" t="n">
        <v>5106</v>
      </c>
      <c r="C54" s="9" t="s">
        <v>249</v>
      </c>
      <c r="D54" s="15"/>
      <c r="E54" s="13" t="n">
        <v>2</v>
      </c>
      <c r="F54" s="43" t="s">
        <v>435</v>
      </c>
    </row>
    <row r="55" customFormat="false" ht="15.75" hidden="false" customHeight="false" outlineLevel="0" collapsed="false">
      <c r="A55" s="8" t="s">
        <v>250</v>
      </c>
      <c r="B55" s="8" t="s">
        <v>251</v>
      </c>
      <c r="C55" s="9" t="s">
        <v>252</v>
      </c>
      <c r="D55" s="15"/>
      <c r="E55" s="13" t="n">
        <v>5</v>
      </c>
      <c r="F55" s="50" t="s">
        <v>449</v>
      </c>
    </row>
    <row r="56" customFormat="false" ht="15.75" hidden="false" customHeight="false" outlineLevel="0" collapsed="false">
      <c r="A56" s="8" t="n">
        <v>55</v>
      </c>
      <c r="B56" s="8" t="s">
        <v>255</v>
      </c>
      <c r="C56" s="9" t="s">
        <v>256</v>
      </c>
      <c r="D56" s="8"/>
      <c r="E56" s="13" t="n">
        <v>4</v>
      </c>
      <c r="F56" s="50" t="s">
        <v>449</v>
      </c>
    </row>
    <row r="57" customFormat="false" ht="15.75" hidden="false" customHeight="false" outlineLevel="0" collapsed="false">
      <c r="A57" s="8" t="s">
        <v>260</v>
      </c>
      <c r="B57" s="8" t="s">
        <v>261</v>
      </c>
      <c r="C57" s="9" t="s">
        <v>262</v>
      </c>
      <c r="D57" s="8"/>
      <c r="E57" s="13" t="n">
        <v>4</v>
      </c>
      <c r="F57" s="50" t="s">
        <v>449</v>
      </c>
    </row>
    <row r="58" customFormat="false" ht="15.75" hidden="false" customHeight="false" outlineLevel="0" collapsed="false">
      <c r="A58" s="8" t="s">
        <v>265</v>
      </c>
      <c r="B58" s="8" t="s">
        <v>266</v>
      </c>
      <c r="C58" s="9" t="s">
        <v>267</v>
      </c>
      <c r="D58" s="8"/>
      <c r="E58" s="13" t="n">
        <v>3</v>
      </c>
      <c r="F58" s="43" t="s">
        <v>435</v>
      </c>
    </row>
    <row r="59" customFormat="false" ht="15.75" hidden="false" customHeight="false" outlineLevel="0" collapsed="false">
      <c r="A59" s="8" t="s">
        <v>268</v>
      </c>
      <c r="B59" s="8" t="s">
        <v>269</v>
      </c>
      <c r="C59" s="9" t="s">
        <v>270</v>
      </c>
      <c r="D59" s="8"/>
      <c r="E59" s="13" t="n">
        <v>6</v>
      </c>
      <c r="F59" s="51" t="s">
        <v>453</v>
      </c>
    </row>
    <row r="60" customFormat="false" ht="15.75" hidden="false" customHeight="false" outlineLevel="0" collapsed="false">
      <c r="A60" s="8" t="s">
        <v>272</v>
      </c>
      <c r="B60" s="8" t="s">
        <v>273</v>
      </c>
      <c r="C60" s="9" t="s">
        <v>274</v>
      </c>
      <c r="D60" s="8"/>
      <c r="E60" s="13" t="n">
        <v>3</v>
      </c>
      <c r="F60" s="52" t="s">
        <v>454</v>
      </c>
    </row>
    <row r="61" customFormat="false" ht="15.75" hidden="false" customHeight="false" outlineLevel="0" collapsed="false">
      <c r="A61" s="8" t="s">
        <v>277</v>
      </c>
      <c r="B61" s="8" t="s">
        <v>278</v>
      </c>
      <c r="C61" s="9" t="s">
        <v>279</v>
      </c>
      <c r="D61" s="8"/>
      <c r="E61" s="13" t="n">
        <v>5</v>
      </c>
      <c r="F61" s="53" t="s">
        <v>455</v>
      </c>
    </row>
    <row r="62" customFormat="false" ht="15.75" hidden="false" customHeight="false" outlineLevel="0" collapsed="false">
      <c r="A62" s="8" t="s">
        <v>281</v>
      </c>
      <c r="B62" s="8" t="s">
        <v>282</v>
      </c>
      <c r="C62" s="9" t="s">
        <v>283</v>
      </c>
      <c r="D62" s="8"/>
      <c r="E62" s="13" t="n">
        <v>4</v>
      </c>
      <c r="F62" s="43" t="s">
        <v>435</v>
      </c>
    </row>
    <row r="63" customFormat="false" ht="15.75" hidden="false" customHeight="false" outlineLevel="0" collapsed="false">
      <c r="A63" s="8" t="s">
        <v>284</v>
      </c>
      <c r="B63" s="8" t="s">
        <v>285</v>
      </c>
      <c r="C63" s="9" t="s">
        <v>286</v>
      </c>
      <c r="D63" s="8"/>
      <c r="E63" s="13" t="n">
        <v>3</v>
      </c>
      <c r="F63" s="51" t="s">
        <v>453</v>
      </c>
    </row>
    <row r="64" customFormat="false" ht="15.75" hidden="false" customHeight="false" outlineLevel="0" collapsed="false">
      <c r="A64" s="8" t="s">
        <v>288</v>
      </c>
      <c r="B64" s="8" t="s">
        <v>289</v>
      </c>
      <c r="C64" s="9" t="s">
        <v>290</v>
      </c>
      <c r="D64" s="8"/>
      <c r="E64" s="13" t="n">
        <v>2</v>
      </c>
      <c r="F64" s="43" t="s">
        <v>435</v>
      </c>
    </row>
    <row r="65" customFormat="false" ht="15.75" hidden="false" customHeight="false" outlineLevel="0" collapsed="false">
      <c r="A65" s="8" t="s">
        <v>291</v>
      </c>
      <c r="B65" s="8" t="s">
        <v>292</v>
      </c>
      <c r="C65" s="9" t="s">
        <v>293</v>
      </c>
      <c r="D65" s="8"/>
      <c r="E65" s="13" t="n">
        <v>2</v>
      </c>
      <c r="F65" s="43" t="s">
        <v>435</v>
      </c>
    </row>
    <row r="66" customFormat="false" ht="15.75" hidden="false" customHeight="false" outlineLevel="0" collapsed="false">
      <c r="A66" s="8" t="s">
        <v>294</v>
      </c>
      <c r="B66" s="8" t="s">
        <v>295</v>
      </c>
      <c r="C66" s="9" t="s">
        <v>296</v>
      </c>
      <c r="D66" s="8"/>
      <c r="E66" s="13" t="n">
        <v>3</v>
      </c>
      <c r="F66" s="43" t="s">
        <v>435</v>
      </c>
    </row>
    <row r="67" customFormat="false" ht="15.75" hidden="false" customHeight="false" outlineLevel="0" collapsed="false">
      <c r="A67" s="8" t="s">
        <v>297</v>
      </c>
      <c r="B67" s="8" t="s">
        <v>298</v>
      </c>
      <c r="C67" s="9" t="s">
        <v>299</v>
      </c>
      <c r="D67" s="8"/>
      <c r="E67" s="13" t="n">
        <v>3</v>
      </c>
      <c r="F67" s="43" t="s">
        <v>435</v>
      </c>
    </row>
    <row r="68" customFormat="false" ht="15.75" hidden="false" customHeight="false" outlineLevel="0" collapsed="false">
      <c r="A68" s="8" t="s">
        <v>300</v>
      </c>
      <c r="B68" s="8" t="s">
        <v>301</v>
      </c>
      <c r="C68" s="9" t="s">
        <v>302</v>
      </c>
      <c r="D68" s="8"/>
      <c r="E68" s="13" t="n">
        <v>4</v>
      </c>
      <c r="F68" s="43" t="s">
        <v>435</v>
      </c>
    </row>
    <row r="69" customFormat="false" ht="15.75" hidden="false" customHeight="false" outlineLevel="0" collapsed="false">
      <c r="A69" s="8" t="s">
        <v>303</v>
      </c>
      <c r="B69" s="8" t="s">
        <v>304</v>
      </c>
      <c r="C69" s="9" t="s">
        <v>305</v>
      </c>
      <c r="D69" s="8"/>
      <c r="E69" s="13" t="n">
        <v>3</v>
      </c>
      <c r="F69" s="43" t="s">
        <v>435</v>
      </c>
    </row>
    <row r="70" customFormat="false" ht="15.75" hidden="false" customHeight="false" outlineLevel="0" collapsed="false">
      <c r="A70" s="8" t="s">
        <v>306</v>
      </c>
      <c r="B70" s="8" t="s">
        <v>307</v>
      </c>
      <c r="C70" s="9" t="s">
        <v>308</v>
      </c>
      <c r="D70" s="8"/>
      <c r="E70" s="13" t="n">
        <v>4</v>
      </c>
      <c r="F70" s="43" t="s">
        <v>435</v>
      </c>
    </row>
    <row r="71" customFormat="false" ht="15.75" hidden="false" customHeight="false" outlineLevel="0" collapsed="false">
      <c r="A71" s="8" t="s">
        <v>312</v>
      </c>
      <c r="B71" s="8" t="s">
        <v>313</v>
      </c>
      <c r="C71" s="9" t="s">
        <v>314</v>
      </c>
      <c r="D71" s="8"/>
      <c r="E71" s="13" t="n">
        <v>4</v>
      </c>
      <c r="F71" s="42" t="s">
        <v>441</v>
      </c>
    </row>
    <row r="72" customFormat="false" ht="15.75" hidden="false" customHeight="false" outlineLevel="0" collapsed="false">
      <c r="A72" s="8" t="s">
        <v>318</v>
      </c>
      <c r="B72" s="8" t="s">
        <v>319</v>
      </c>
      <c r="C72" s="9" t="s">
        <v>320</v>
      </c>
      <c r="D72" s="8"/>
      <c r="E72" s="13" t="n">
        <v>3</v>
      </c>
      <c r="F72" s="42" t="s">
        <v>441</v>
      </c>
    </row>
    <row r="73" customFormat="false" ht="15.75" hidden="false" customHeight="false" outlineLevel="0" collapsed="false">
      <c r="A73" s="8" t="s">
        <v>323</v>
      </c>
      <c r="B73" s="8" t="s">
        <v>324</v>
      </c>
      <c r="C73" s="9" t="s">
        <v>325</v>
      </c>
      <c r="D73" s="8"/>
      <c r="E73" s="13" t="n">
        <v>4</v>
      </c>
      <c r="F73" s="43" t="s">
        <v>435</v>
      </c>
    </row>
    <row r="74" customFormat="false" ht="15.75" hidden="false" customHeight="false" outlineLevel="0" collapsed="false">
      <c r="A74" s="8" t="s">
        <v>329</v>
      </c>
      <c r="B74" s="8" t="s">
        <v>330</v>
      </c>
      <c r="C74" s="9" t="s">
        <v>331</v>
      </c>
      <c r="D74" s="8"/>
      <c r="E74" s="13" t="n">
        <v>3</v>
      </c>
      <c r="F74" s="49" t="s">
        <v>456</v>
      </c>
    </row>
    <row r="75" customFormat="false" ht="15.75" hidden="false" customHeight="false" outlineLevel="0" collapsed="false">
      <c r="A75" s="8" t="s">
        <v>335</v>
      </c>
      <c r="B75" s="8" t="s">
        <v>336</v>
      </c>
      <c r="C75" s="9" t="s">
        <v>337</v>
      </c>
      <c r="D75" s="8"/>
      <c r="E75" s="13" t="n">
        <v>3</v>
      </c>
      <c r="F75" s="50" t="s">
        <v>449</v>
      </c>
    </row>
    <row r="76" customFormat="false" ht="15.75" hidden="false" customHeight="false" outlineLevel="0" collapsed="false">
      <c r="A76" s="8" t="s">
        <v>340</v>
      </c>
      <c r="B76" s="8" t="s">
        <v>341</v>
      </c>
      <c r="C76" s="9" t="s">
        <v>342</v>
      </c>
      <c r="D76" s="8"/>
      <c r="E76" s="13" t="n">
        <v>3</v>
      </c>
      <c r="F76" s="50" t="s">
        <v>449</v>
      </c>
    </row>
    <row r="77" customFormat="false" ht="15.75" hidden="false" customHeight="false" outlineLevel="0" collapsed="false">
      <c r="A77" s="8" t="s">
        <v>345</v>
      </c>
      <c r="B77" s="8" t="s">
        <v>346</v>
      </c>
      <c r="C77" s="9" t="s">
        <v>347</v>
      </c>
      <c r="D77" s="15"/>
      <c r="E77" s="13" t="n">
        <v>4</v>
      </c>
      <c r="F77" s="42" t="s">
        <v>441</v>
      </c>
    </row>
    <row r="78" customFormat="false" ht="15.75" hidden="false" customHeight="false" outlineLevel="0" collapsed="false">
      <c r="A78" s="8" t="s">
        <v>350</v>
      </c>
      <c r="B78" s="8" t="s">
        <v>351</v>
      </c>
      <c r="C78" s="9" t="s">
        <v>352</v>
      </c>
      <c r="D78" s="15"/>
      <c r="E78" s="13" t="n">
        <v>4</v>
      </c>
      <c r="F78" s="50" t="s">
        <v>449</v>
      </c>
    </row>
    <row r="79" customFormat="false" ht="15.75" hidden="false" customHeight="false" outlineLevel="0" collapsed="false">
      <c r="A79" s="8" t="s">
        <v>355</v>
      </c>
      <c r="B79" s="8" t="s">
        <v>356</v>
      </c>
      <c r="C79" s="9" t="s">
        <v>357</v>
      </c>
      <c r="D79" s="15"/>
      <c r="E79" s="13" t="n">
        <v>3</v>
      </c>
      <c r="F79" s="50" t="s">
        <v>449</v>
      </c>
    </row>
    <row r="80" customFormat="false" ht="15.75" hidden="false" customHeight="false" outlineLevel="0" collapsed="false">
      <c r="A80" s="8" t="s">
        <v>360</v>
      </c>
      <c r="B80" s="8" t="s">
        <v>361</v>
      </c>
      <c r="C80" s="9" t="s">
        <v>362</v>
      </c>
      <c r="D80" s="15"/>
      <c r="E80" s="13" t="n">
        <v>4</v>
      </c>
      <c r="F80" s="50" t="s">
        <v>449</v>
      </c>
    </row>
    <row r="81" customFormat="false" ht="15.75" hidden="false" customHeight="false" outlineLevel="0" collapsed="false">
      <c r="A81" s="8" t="s">
        <v>365</v>
      </c>
      <c r="B81" s="8" t="s">
        <v>366</v>
      </c>
      <c r="C81" s="9" t="s">
        <v>367</v>
      </c>
      <c r="D81" s="15"/>
      <c r="E81" s="13" t="n">
        <v>5</v>
      </c>
      <c r="F81" s="50" t="s">
        <v>449</v>
      </c>
    </row>
    <row r="82" customFormat="false" ht="15.75" hidden="false" customHeight="false" outlineLevel="0" collapsed="false">
      <c r="A82" s="8" t="s">
        <v>370</v>
      </c>
      <c r="B82" s="8" t="s">
        <v>371</v>
      </c>
      <c r="C82" s="9" t="s">
        <v>372</v>
      </c>
      <c r="D82" s="15"/>
      <c r="E82" s="13" t="n">
        <v>3</v>
      </c>
      <c r="F82" s="50" t="s">
        <v>449</v>
      </c>
    </row>
    <row r="83" customFormat="false" ht="15.75" hidden="false" customHeight="false" outlineLevel="0" collapsed="false">
      <c r="A83" s="8" t="s">
        <v>375</v>
      </c>
      <c r="B83" s="8" t="s">
        <v>376</v>
      </c>
      <c r="C83" s="9" t="s">
        <v>377</v>
      </c>
      <c r="D83" s="15"/>
      <c r="E83" s="13" t="n">
        <v>4</v>
      </c>
      <c r="F83" s="50" t="s">
        <v>449</v>
      </c>
    </row>
    <row r="84" customFormat="false" ht="15.75" hidden="false" customHeight="false" outlineLevel="0" collapsed="false">
      <c r="A84" s="8" t="s">
        <v>379</v>
      </c>
      <c r="B84" s="8" t="s">
        <v>380</v>
      </c>
      <c r="C84" s="9" t="s">
        <v>381</v>
      </c>
      <c r="D84" s="15"/>
      <c r="E84" s="13" t="n">
        <v>4</v>
      </c>
      <c r="F84" s="50" t="s">
        <v>449</v>
      </c>
    </row>
    <row r="85" customFormat="false" ht="15.75" hidden="false" customHeight="false" outlineLevel="0" collapsed="false">
      <c r="A85" s="8" t="s">
        <v>384</v>
      </c>
      <c r="B85" s="8" t="s">
        <v>385</v>
      </c>
      <c r="C85" s="9" t="s">
        <v>386</v>
      </c>
      <c r="D85" s="15"/>
      <c r="E85" s="13" t="n">
        <v>3</v>
      </c>
      <c r="F85" s="50" t="s">
        <v>449</v>
      </c>
    </row>
    <row r="86" customFormat="false" ht="15.75" hidden="false" customHeight="false" outlineLevel="0" collapsed="false">
      <c r="A86" s="8" t="s">
        <v>389</v>
      </c>
      <c r="B86" s="8" t="s">
        <v>390</v>
      </c>
      <c r="C86" s="9" t="s">
        <v>391</v>
      </c>
      <c r="D86" s="15"/>
      <c r="E86" s="13" t="n">
        <v>4</v>
      </c>
      <c r="F86" s="50" t="s">
        <v>449</v>
      </c>
    </row>
    <row r="87" customFormat="false" ht="15.75" hidden="false" customHeight="false" outlineLevel="0" collapsed="false">
      <c r="A87" s="8" t="s">
        <v>392</v>
      </c>
      <c r="B87" s="8" t="n">
        <v>1117</v>
      </c>
      <c r="C87" s="9" t="s">
        <v>393</v>
      </c>
      <c r="D87" s="15"/>
      <c r="E87" s="13" t="n">
        <v>3</v>
      </c>
      <c r="F87" s="50" t="s">
        <v>449</v>
      </c>
    </row>
    <row r="88" customFormat="false" ht="15.75" hidden="false" customHeight="false" outlineLevel="0" collapsed="false">
      <c r="A88" s="8" t="s">
        <v>394</v>
      </c>
      <c r="B88" s="8" t="n">
        <v>9004</v>
      </c>
      <c r="C88" s="9" t="s">
        <v>395</v>
      </c>
      <c r="D88" s="15"/>
      <c r="E88" s="13" t="n">
        <v>4</v>
      </c>
      <c r="F88" s="50" t="s">
        <v>449</v>
      </c>
    </row>
    <row r="89" customFormat="false" ht="15.75" hidden="false" customHeight="false" outlineLevel="0" collapsed="false">
      <c r="A89" s="8" t="s">
        <v>396</v>
      </c>
      <c r="B89" s="8" t="n">
        <v>6008</v>
      </c>
      <c r="C89" s="9" t="s">
        <v>397</v>
      </c>
      <c r="D89" s="15"/>
      <c r="E89" s="13" t="n">
        <v>6</v>
      </c>
      <c r="F89" s="50" t="s">
        <v>449</v>
      </c>
    </row>
    <row r="90" customFormat="false" ht="15.75" hidden="false" customHeight="false" outlineLevel="0" collapsed="false">
      <c r="A90" s="8" t="s">
        <v>398</v>
      </c>
      <c r="B90" s="8" t="n">
        <v>6019</v>
      </c>
      <c r="C90" s="9" t="s">
        <v>399</v>
      </c>
      <c r="D90" s="15"/>
      <c r="E90" s="13" t="n">
        <v>3</v>
      </c>
      <c r="F90" s="50" t="s">
        <v>449</v>
      </c>
    </row>
    <row r="91" customFormat="false" ht="15.75" hidden="false" customHeight="false" outlineLevel="0" collapsed="false">
      <c r="A91" s="8" t="s">
        <v>400</v>
      </c>
      <c r="B91" s="8" t="s">
        <v>401</v>
      </c>
      <c r="C91" s="9" t="s">
        <v>402</v>
      </c>
      <c r="D91" s="15"/>
      <c r="E91" s="13" t="n">
        <v>4</v>
      </c>
      <c r="F91" s="50" t="s">
        <v>449</v>
      </c>
    </row>
    <row r="92" customFormat="false" ht="15.75" hidden="false" customHeight="false" outlineLevel="0" collapsed="false">
      <c r="A92" s="8" t="s">
        <v>405</v>
      </c>
      <c r="B92" s="8" t="s">
        <v>406</v>
      </c>
      <c r="C92" s="9" t="s">
        <v>407</v>
      </c>
      <c r="D92" s="15"/>
      <c r="E92" s="13" t="n">
        <v>4</v>
      </c>
      <c r="F92" s="42" t="s">
        <v>441</v>
      </c>
    </row>
    <row r="93" customFormat="false" ht="15.75" hidden="false" customHeight="false" outlineLevel="0" collapsed="false">
      <c r="A93" s="8" t="s">
        <v>410</v>
      </c>
      <c r="B93" s="8" t="s">
        <v>411</v>
      </c>
      <c r="C93" s="9" t="s">
        <v>412</v>
      </c>
      <c r="D93" s="15"/>
      <c r="E93" s="13" t="n">
        <v>3</v>
      </c>
      <c r="F93" s="50" t="s">
        <v>449</v>
      </c>
    </row>
    <row r="94" customFormat="false" ht="15.75" hidden="false" customHeight="false" outlineLevel="0" collapsed="false">
      <c r="A94" s="8" t="s">
        <v>416</v>
      </c>
      <c r="B94" s="8" t="s">
        <v>417</v>
      </c>
      <c r="C94" s="9" t="s">
        <v>418</v>
      </c>
      <c r="D94" s="15"/>
      <c r="E94" s="13" t="n">
        <v>2</v>
      </c>
      <c r="F94" s="50" t="s">
        <v>449</v>
      </c>
    </row>
    <row r="95" customFormat="false" ht="15.75" hidden="false" customHeight="false" outlineLevel="0" collapsed="false">
      <c r="A95" s="8" t="s">
        <v>421</v>
      </c>
      <c r="B95" s="8" t="s">
        <v>422</v>
      </c>
      <c r="C95" s="9" t="s">
        <v>423</v>
      </c>
      <c r="D95" s="15"/>
      <c r="E95" s="13" t="n">
        <v>3</v>
      </c>
      <c r="F95" s="50" t="s">
        <v>449</v>
      </c>
    </row>
    <row r="96" customFormat="false" ht="15.75" hidden="false" customHeight="false" outlineLevel="0" collapsed="false">
      <c r="A96" s="8" t="s">
        <v>426</v>
      </c>
      <c r="B96" s="8" t="n">
        <v>2016</v>
      </c>
      <c r="C96" s="9" t="s">
        <v>427</v>
      </c>
      <c r="D96" s="15"/>
      <c r="E96" s="13" t="n">
        <v>4</v>
      </c>
      <c r="F96" s="50" t="s">
        <v>449</v>
      </c>
    </row>
    <row r="97" customFormat="false" ht="15.75" hidden="false" customHeight="false" outlineLevel="0" collapsed="false">
      <c r="A97" s="8" t="s">
        <v>428</v>
      </c>
      <c r="B97" s="8" t="n">
        <v>2074</v>
      </c>
      <c r="C97" s="9" t="s">
        <v>429</v>
      </c>
      <c r="D97" s="15"/>
      <c r="E97" s="13" t="n">
        <v>3</v>
      </c>
      <c r="F97" s="45" t="s">
        <v>440</v>
      </c>
    </row>
    <row r="98" customFormat="false" ht="15.75" hidden="false" customHeight="false" outlineLevel="0" collapsed="false">
      <c r="E98" s="3" t="n">
        <f aca="false">SUM(E2:E97)</f>
        <v>348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2021-03-08T13:53:08Z</dcterms:created>
  <dc:creator>Elena Barbati</dc:creator>
  <dc:description/>
  <dc:language>it-IT</dc:language>
  <cp:lastModifiedBy/>
  <cp:lastPrinted>2023-11-03T11:47:55Z</cp:lastPrinted>
  <dcterms:modified xsi:type="dcterms:W3CDTF">2026-01-21T13:59:01Z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