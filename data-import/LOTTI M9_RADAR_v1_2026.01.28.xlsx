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DM\Ingegneria del Traffico\Area Impianti_REACT\10_2026_Aggiornamenti RADAR\"/>
    </mc:Choice>
  </mc:AlternateContent>
  <xr:revisionPtr revIDLastSave="0" documentId="13_ncr:1_{AEFB4CA3-A12B-4A66-A06C-495F969C14F6}" xr6:coauthVersionLast="36" xr6:coauthVersionMax="36" xr10:uidLastSave="{00000000-0000-0000-0000-000000000000}"/>
  <bookViews>
    <workbookView xWindow="0" yWindow="0" windowWidth="23040" windowHeight="11124" firstSheet="2" activeTab="8" xr2:uid="{A6C4E93D-2063-450D-B246-914F87E80121}"/>
  </bookViews>
  <sheets>
    <sheet name="INST.FIN. LOTTI" sheetId="2" r:id="rId1"/>
    <sheet name="INST.FIN. LOTTI_M9.1" sheetId="9" r:id="rId2"/>
    <sheet name="INST.FIN. LOTTI_M9.2" sheetId="8" r:id="rId3"/>
    <sheet name="M9.1 apr-24" sheetId="1" r:id="rId4"/>
    <sheet name="M9.2 apr-24" sheetId="3" r:id="rId5"/>
    <sheet name="PrepINST.FIN. M9.1" sheetId="4" r:id="rId6"/>
    <sheet name="PrepINST.FIN. M9.2" sheetId="5" r:id="rId7"/>
    <sheet name="NC" sheetId="6" r:id="rId8"/>
    <sheet name="CFR M9.1" sheetId="12" r:id="rId9"/>
    <sheet name="CFR M9.2" sheetId="10" r:id="rId10"/>
    <sheet name="Foglio5" sheetId="11" r:id="rId11"/>
  </sheets>
  <definedNames>
    <definedName name="_xlnm._FilterDatabase" localSheetId="8" hidden="1">'CFR M9.1'!$A$1:$F$124</definedName>
    <definedName name="_xlnm._FilterDatabase" localSheetId="10" hidden="1">Foglio5!$A$1:$C$1</definedName>
    <definedName name="_xlnm._FilterDatabase" localSheetId="0" hidden="1">'INST.FIN. LOTTI'!$A$1:$Z$221</definedName>
    <definedName name="_xlnm._FilterDatabase" localSheetId="1" hidden="1">'INST.FIN. LOTTI_M9.1'!$A$1:$Z$124</definedName>
    <definedName name="_xlnm._FilterDatabase" localSheetId="2" hidden="1">'INST.FIN. LOTTI_M9.2'!$A$1:$Z$98</definedName>
    <definedName name="_xlnm.Print_Area" localSheetId="0">'INST.FIN. LOTTI'!$A$1:$S$229</definedName>
    <definedName name="_xlnm.Print_Area" localSheetId="1">'INST.FIN. LOTTI_M9.1'!$A$1:$S$132</definedName>
    <definedName name="_xlnm.Print_Area" localSheetId="2">'INST.FIN. LOTTI_M9.2'!$A$1:$S$106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2" l="1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2" i="12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67" i="10"/>
  <c r="K142" i="9"/>
  <c r="K141" i="9"/>
  <c r="K140" i="9"/>
  <c r="K139" i="9"/>
  <c r="K138" i="9"/>
  <c r="K137" i="9"/>
  <c r="I135" i="9"/>
  <c r="I134" i="9"/>
  <c r="I136" i="9" s="1"/>
  <c r="G131" i="9"/>
  <c r="G130" i="9"/>
  <c r="G129" i="9"/>
  <c r="C129" i="9"/>
  <c r="B129" i="9"/>
  <c r="G128" i="9"/>
  <c r="C128" i="9"/>
  <c r="B128" i="9"/>
  <c r="J126" i="9"/>
  <c r="J128" i="9" s="1"/>
  <c r="R124" i="9"/>
  <c r="Q124" i="9"/>
  <c r="R123" i="9"/>
  <c r="Q123" i="9"/>
  <c r="R122" i="9"/>
  <c r="Q122" i="9"/>
  <c r="R121" i="9"/>
  <c r="Q121" i="9"/>
  <c r="R120" i="9"/>
  <c r="Q120" i="9"/>
  <c r="R119" i="9"/>
  <c r="Q119" i="9"/>
  <c r="R118" i="9"/>
  <c r="Q118" i="9"/>
  <c r="R117" i="9"/>
  <c r="Q117" i="9"/>
  <c r="R116" i="9"/>
  <c r="Q116" i="9"/>
  <c r="R115" i="9"/>
  <c r="Q115" i="9"/>
  <c r="R114" i="9"/>
  <c r="Q114" i="9"/>
  <c r="R113" i="9"/>
  <c r="Q113" i="9"/>
  <c r="R112" i="9"/>
  <c r="Q112" i="9"/>
  <c r="R111" i="9"/>
  <c r="Q111" i="9"/>
  <c r="R110" i="9"/>
  <c r="Q110" i="9"/>
  <c r="R109" i="9"/>
  <c r="Q109" i="9"/>
  <c r="R108" i="9"/>
  <c r="Q108" i="9"/>
  <c r="R107" i="9"/>
  <c r="Q107" i="9"/>
  <c r="R106" i="9"/>
  <c r="Q106" i="9"/>
  <c r="R105" i="9"/>
  <c r="Q105" i="9"/>
  <c r="R104" i="9"/>
  <c r="Q104" i="9"/>
  <c r="R103" i="9"/>
  <c r="Q103" i="9"/>
  <c r="R102" i="9"/>
  <c r="Q102" i="9"/>
  <c r="R101" i="9"/>
  <c r="Q101" i="9"/>
  <c r="R100" i="9"/>
  <c r="Q100" i="9"/>
  <c r="R99" i="9"/>
  <c r="Q99" i="9"/>
  <c r="R98" i="9"/>
  <c r="Q98" i="9"/>
  <c r="R97" i="9"/>
  <c r="Q97" i="9"/>
  <c r="R96" i="9"/>
  <c r="Q96" i="9"/>
  <c r="R95" i="9"/>
  <c r="Q95" i="9"/>
  <c r="R94" i="9"/>
  <c r="Q94" i="9"/>
  <c r="R93" i="9"/>
  <c r="Q93" i="9"/>
  <c r="R92" i="9"/>
  <c r="Q92" i="9"/>
  <c r="R91" i="9"/>
  <c r="Q91" i="9"/>
  <c r="R90" i="9"/>
  <c r="Q90" i="9"/>
  <c r="R89" i="9"/>
  <c r="Q89" i="9"/>
  <c r="R88" i="9"/>
  <c r="R87" i="9"/>
  <c r="Q87" i="9"/>
  <c r="R86" i="9"/>
  <c r="Q86" i="9"/>
  <c r="R85" i="9"/>
  <c r="R84" i="9"/>
  <c r="Q84" i="9"/>
  <c r="R83" i="9"/>
  <c r="Q83" i="9"/>
  <c r="R82" i="9"/>
  <c r="Q82" i="9"/>
  <c r="R81" i="9"/>
  <c r="Q81" i="9"/>
  <c r="R80" i="9"/>
  <c r="Q80" i="9"/>
  <c r="R79" i="9"/>
  <c r="Q79" i="9"/>
  <c r="R78" i="9"/>
  <c r="Q78" i="9"/>
  <c r="R77" i="9"/>
  <c r="Q77" i="9"/>
  <c r="R76" i="9"/>
  <c r="Q76" i="9"/>
  <c r="R75" i="9"/>
  <c r="Q75" i="9"/>
  <c r="R74" i="9"/>
  <c r="Q74" i="9"/>
  <c r="R73" i="9"/>
  <c r="R72" i="9"/>
  <c r="R71" i="9"/>
  <c r="Q71" i="9"/>
  <c r="R70" i="9"/>
  <c r="Q70" i="9"/>
  <c r="R69" i="9"/>
  <c r="Q69" i="9"/>
  <c r="R68" i="9"/>
  <c r="Q68" i="9"/>
  <c r="R67" i="9"/>
  <c r="Q67" i="9"/>
  <c r="R66" i="9"/>
  <c r="Q66" i="9"/>
  <c r="R65" i="9"/>
  <c r="Q65" i="9"/>
  <c r="R64" i="9"/>
  <c r="Q64" i="9"/>
  <c r="R63" i="9"/>
  <c r="Q63" i="9"/>
  <c r="R62" i="9"/>
  <c r="Q62" i="9"/>
  <c r="R61" i="9"/>
  <c r="Q61" i="9"/>
  <c r="R60" i="9"/>
  <c r="Q60" i="9"/>
  <c r="R59" i="9"/>
  <c r="Q59" i="9"/>
  <c r="R57" i="9"/>
  <c r="Q57" i="9"/>
  <c r="R55" i="9"/>
  <c r="R54" i="9"/>
  <c r="R53" i="9"/>
  <c r="Q53" i="9"/>
  <c r="R52" i="9"/>
  <c r="R51" i="9"/>
  <c r="R50" i="9"/>
  <c r="Q50" i="9"/>
  <c r="R48" i="9"/>
  <c r="R47" i="9"/>
  <c r="R46" i="9"/>
  <c r="R45" i="9"/>
  <c r="R44" i="9"/>
  <c r="R43" i="9"/>
  <c r="Q43" i="9"/>
  <c r="R42" i="9"/>
  <c r="Q42" i="9"/>
  <c r="R41" i="9"/>
  <c r="Q41" i="9"/>
  <c r="R40" i="9"/>
  <c r="Q40" i="9"/>
  <c r="R39" i="9"/>
  <c r="Q39" i="9"/>
  <c r="R38" i="9"/>
  <c r="R37" i="9"/>
  <c r="R36" i="9"/>
  <c r="R35" i="9"/>
  <c r="Q35" i="9"/>
  <c r="R34" i="9"/>
  <c r="Q34" i="9"/>
  <c r="R33" i="9"/>
  <c r="R32" i="9"/>
  <c r="Q32" i="9"/>
  <c r="R31" i="9"/>
  <c r="Q31" i="9"/>
  <c r="R30" i="9"/>
  <c r="Q30" i="9"/>
  <c r="R29" i="9"/>
  <c r="Q29" i="9"/>
  <c r="R28" i="9"/>
  <c r="Q28" i="9"/>
  <c r="R27" i="9"/>
  <c r="Q27" i="9"/>
  <c r="R26" i="9"/>
  <c r="Q26" i="9"/>
  <c r="R25" i="9"/>
  <c r="Q25" i="9"/>
  <c r="R24" i="9"/>
  <c r="Q24" i="9"/>
  <c r="R23" i="9"/>
  <c r="Q23" i="9"/>
  <c r="R22" i="9"/>
  <c r="R21" i="9"/>
  <c r="Q21" i="9"/>
  <c r="R20" i="9"/>
  <c r="Q20" i="9"/>
  <c r="R19" i="9"/>
  <c r="Q19" i="9"/>
  <c r="R18" i="9"/>
  <c r="Q18" i="9"/>
  <c r="R17" i="9"/>
  <c r="R16" i="9"/>
  <c r="Q16" i="9"/>
  <c r="R15" i="9"/>
  <c r="Q15" i="9"/>
  <c r="R14" i="9"/>
  <c r="Q14" i="9"/>
  <c r="R13" i="9"/>
  <c r="Q13" i="9"/>
  <c r="R12" i="9"/>
  <c r="Q12" i="9"/>
  <c r="R11" i="9"/>
  <c r="R10" i="9"/>
  <c r="R9" i="9"/>
  <c r="Q9" i="9"/>
  <c r="R8" i="9"/>
  <c r="Q8" i="9"/>
  <c r="R7" i="9"/>
  <c r="Q7" i="9"/>
  <c r="R6" i="9"/>
  <c r="Q6" i="9"/>
  <c r="R5" i="9"/>
  <c r="R4" i="9"/>
  <c r="Q4" i="9"/>
  <c r="R3" i="9"/>
  <c r="Q3" i="9"/>
  <c r="R2" i="9"/>
  <c r="K116" i="8"/>
  <c r="K115" i="8"/>
  <c r="K114" i="8"/>
  <c r="K113" i="8"/>
  <c r="K112" i="8"/>
  <c r="K111" i="8"/>
  <c r="I109" i="8"/>
  <c r="I108" i="8"/>
  <c r="I110" i="8" s="1"/>
  <c r="G105" i="8"/>
  <c r="G104" i="8"/>
  <c r="G103" i="8"/>
  <c r="C103" i="8"/>
  <c r="B103" i="8"/>
  <c r="J102" i="8"/>
  <c r="G102" i="8"/>
  <c r="C102" i="8"/>
  <c r="B102" i="8"/>
  <c r="J100" i="8"/>
  <c r="R98" i="8"/>
  <c r="Q98" i="8"/>
  <c r="R97" i="8"/>
  <c r="Q97" i="8"/>
  <c r="R96" i="8"/>
  <c r="Q96" i="8"/>
  <c r="R95" i="8"/>
  <c r="Q95" i="8"/>
  <c r="R94" i="8"/>
  <c r="Q94" i="8"/>
  <c r="R93" i="8"/>
  <c r="Q93" i="8"/>
  <c r="R92" i="8"/>
  <c r="Q92" i="8"/>
  <c r="R91" i="8"/>
  <c r="Q91" i="8"/>
  <c r="R90" i="8"/>
  <c r="Q90" i="8"/>
  <c r="R89" i="8"/>
  <c r="Q89" i="8"/>
  <c r="R88" i="8"/>
  <c r="Q88" i="8"/>
  <c r="R87" i="8"/>
  <c r="Q87" i="8"/>
  <c r="R86" i="8"/>
  <c r="Q86" i="8"/>
  <c r="R85" i="8"/>
  <c r="Q85" i="8"/>
  <c r="R84" i="8"/>
  <c r="Q84" i="8"/>
  <c r="R83" i="8"/>
  <c r="Q83" i="8"/>
  <c r="R82" i="8"/>
  <c r="Q82" i="8"/>
  <c r="R81" i="8"/>
  <c r="Q81" i="8"/>
  <c r="R80" i="8"/>
  <c r="Q80" i="8"/>
  <c r="R79" i="8"/>
  <c r="Q79" i="8"/>
  <c r="R78" i="8"/>
  <c r="Q78" i="8"/>
  <c r="R77" i="8"/>
  <c r="Q77" i="8"/>
  <c r="R76" i="8"/>
  <c r="Q76" i="8"/>
  <c r="R75" i="8"/>
  <c r="Q75" i="8"/>
  <c r="R74" i="8"/>
  <c r="Q74" i="8"/>
  <c r="R73" i="8"/>
  <c r="Q73" i="8"/>
  <c r="R72" i="8"/>
  <c r="Q72" i="8"/>
  <c r="R71" i="8"/>
  <c r="Q71" i="8"/>
  <c r="R70" i="8"/>
  <c r="Q70" i="8"/>
  <c r="R69" i="8"/>
  <c r="Q69" i="8"/>
  <c r="R68" i="8"/>
  <c r="Q68" i="8"/>
  <c r="R67" i="8"/>
  <c r="Q67" i="8"/>
  <c r="R66" i="8"/>
  <c r="Q66" i="8"/>
  <c r="R65" i="8"/>
  <c r="Q65" i="8"/>
  <c r="R64" i="8"/>
  <c r="Q64" i="8"/>
  <c r="R63" i="8"/>
  <c r="Q63" i="8"/>
  <c r="R62" i="8"/>
  <c r="Q62" i="8"/>
  <c r="R61" i="8"/>
  <c r="Q61" i="8"/>
  <c r="R60" i="8"/>
  <c r="Q60" i="8"/>
  <c r="R59" i="8"/>
  <c r="Q59" i="8"/>
  <c r="R58" i="8"/>
  <c r="Q58" i="8"/>
  <c r="R57" i="8"/>
  <c r="Q57" i="8"/>
  <c r="R56" i="8"/>
  <c r="Q56" i="8"/>
  <c r="R55" i="8"/>
  <c r="Q55" i="8"/>
  <c r="R54" i="8"/>
  <c r="Q54" i="8"/>
  <c r="R53" i="8"/>
  <c r="Q53" i="8"/>
  <c r="R52" i="8"/>
  <c r="Q52" i="8"/>
  <c r="R51" i="8"/>
  <c r="Q51" i="8"/>
  <c r="R50" i="8"/>
  <c r="Q50" i="8"/>
  <c r="R49" i="8"/>
  <c r="Q49" i="8"/>
  <c r="R48" i="8"/>
  <c r="Q48" i="8"/>
  <c r="R47" i="8"/>
  <c r="Q47" i="8"/>
  <c r="R46" i="8"/>
  <c r="Q46" i="8"/>
  <c r="R45" i="8"/>
  <c r="Q45" i="8"/>
  <c r="R44" i="8"/>
  <c r="Q44" i="8"/>
  <c r="R43" i="8"/>
  <c r="Q43" i="8"/>
  <c r="R42" i="8"/>
  <c r="Q42" i="8"/>
  <c r="R41" i="8"/>
  <c r="Q41" i="8"/>
  <c r="R40" i="8"/>
  <c r="Q40" i="8"/>
  <c r="R39" i="8"/>
  <c r="Q39" i="8"/>
  <c r="R38" i="8"/>
  <c r="Q38" i="8"/>
  <c r="R37" i="8"/>
  <c r="Q37" i="8"/>
  <c r="R36" i="8"/>
  <c r="Q36" i="8"/>
  <c r="R35" i="8"/>
  <c r="Q35" i="8"/>
  <c r="R34" i="8"/>
  <c r="Q34" i="8"/>
  <c r="R33" i="8"/>
  <c r="Q33" i="8"/>
  <c r="R32" i="8"/>
  <c r="Q32" i="8"/>
  <c r="R31" i="8"/>
  <c r="Q31" i="8"/>
  <c r="R30" i="8"/>
  <c r="Q30" i="8"/>
  <c r="R29" i="8"/>
  <c r="Q29" i="8"/>
  <c r="R28" i="8"/>
  <c r="Q28" i="8"/>
  <c r="R27" i="8"/>
  <c r="Q27" i="8"/>
  <c r="R26" i="8"/>
  <c r="Q26" i="8"/>
  <c r="R25" i="8"/>
  <c r="Q25" i="8"/>
  <c r="Q100" i="8" s="1"/>
  <c r="Q102" i="8" s="1"/>
  <c r="Q104" i="8" s="1"/>
  <c r="R24" i="8"/>
  <c r="Q24" i="8"/>
  <c r="R23" i="8"/>
  <c r="Q23" i="8"/>
  <c r="R22" i="8"/>
  <c r="Q22" i="8"/>
  <c r="R21" i="8"/>
  <c r="R20" i="8"/>
  <c r="Q20" i="8"/>
  <c r="R19" i="8"/>
  <c r="Q19" i="8"/>
  <c r="R18" i="8"/>
  <c r="Q18" i="8"/>
  <c r="R17" i="8"/>
  <c r="Q17" i="8"/>
  <c r="R16" i="8"/>
  <c r="Q16" i="8"/>
  <c r="R15" i="8"/>
  <c r="Q15" i="8"/>
  <c r="R14" i="8"/>
  <c r="Q14" i="8"/>
  <c r="R13" i="8"/>
  <c r="Q13" i="8"/>
  <c r="R12" i="8"/>
  <c r="Q12" i="8"/>
  <c r="R11" i="8"/>
  <c r="Q11" i="8"/>
  <c r="R10" i="8"/>
  <c r="Q10" i="8"/>
  <c r="R9" i="8"/>
  <c r="Q9" i="8"/>
  <c r="R8" i="8"/>
  <c r="Q8" i="8"/>
  <c r="R7" i="8"/>
  <c r="Q7" i="8"/>
  <c r="R6" i="8"/>
  <c r="Q6" i="8"/>
  <c r="R5" i="8"/>
  <c r="Q5" i="8"/>
  <c r="R4" i="8"/>
  <c r="R100" i="8" s="1"/>
  <c r="R102" i="8" s="1"/>
  <c r="R104" i="8" s="1"/>
  <c r="Q4" i="8"/>
  <c r="R3" i="8"/>
  <c r="Q3" i="8"/>
  <c r="R2" i="8"/>
  <c r="Q2" i="8"/>
  <c r="K117" i="8" l="1"/>
  <c r="C106" i="8"/>
  <c r="G106" i="8"/>
  <c r="C132" i="9"/>
  <c r="G132" i="9"/>
  <c r="K143" i="9"/>
  <c r="R126" i="9"/>
  <c r="R128" i="9" s="1"/>
  <c r="R130" i="9" s="1"/>
  <c r="Q126" i="9"/>
  <c r="Q128" i="9" s="1"/>
  <c r="Q130" i="9" s="1"/>
  <c r="B226" i="2" l="1"/>
  <c r="B225" i="2"/>
  <c r="I232" i="2" l="1"/>
  <c r="I231" i="2"/>
  <c r="K234" i="2"/>
  <c r="K235" i="2"/>
  <c r="K239" i="2"/>
  <c r="K238" i="2"/>
  <c r="K237" i="2"/>
  <c r="K236" i="2"/>
  <c r="K240" i="2" l="1"/>
  <c r="I233" i="2"/>
  <c r="R56" i="2"/>
  <c r="R94" i="2"/>
  <c r="R22" i="2"/>
  <c r="R89" i="2"/>
  <c r="R91" i="2"/>
  <c r="R101" i="2"/>
  <c r="R90" i="2"/>
  <c r="R102" i="2"/>
  <c r="R5" i="2"/>
  <c r="R34" i="2"/>
  <c r="R137" i="2"/>
  <c r="R2" i="2"/>
  <c r="R87" i="2"/>
  <c r="R95" i="2"/>
  <c r="R17" i="2"/>
  <c r="R39" i="2"/>
  <c r="R79" i="2"/>
  <c r="R81" i="2"/>
  <c r="R120" i="2"/>
  <c r="R121" i="2"/>
  <c r="R155" i="2"/>
  <c r="R11" i="2"/>
  <c r="R10" i="2"/>
  <c r="R88" i="2"/>
  <c r="R4" i="2"/>
  <c r="R6" i="2"/>
  <c r="R7" i="2"/>
  <c r="R8" i="2"/>
  <c r="R9" i="2"/>
  <c r="R12" i="2"/>
  <c r="R13" i="2"/>
  <c r="R15" i="2"/>
  <c r="R16" i="2"/>
  <c r="R18" i="2"/>
  <c r="R19" i="2"/>
  <c r="R20" i="2"/>
  <c r="R21" i="2"/>
  <c r="R23" i="2"/>
  <c r="R24" i="2"/>
  <c r="R25" i="2"/>
  <c r="R26" i="2"/>
  <c r="R27" i="2"/>
  <c r="R28" i="2"/>
  <c r="R29" i="2"/>
  <c r="R30" i="2"/>
  <c r="R35" i="2"/>
  <c r="R38" i="2"/>
  <c r="R83" i="2"/>
  <c r="R84" i="2"/>
  <c r="R85" i="2"/>
  <c r="R86" i="2"/>
  <c r="R93" i="2"/>
  <c r="R100" i="2"/>
  <c r="R104" i="2"/>
  <c r="R106" i="2"/>
  <c r="R113" i="2"/>
  <c r="R154" i="2"/>
  <c r="R115" i="2"/>
  <c r="R116" i="2"/>
  <c r="R117" i="2"/>
  <c r="R118" i="2"/>
  <c r="R122" i="2"/>
  <c r="R123" i="2"/>
  <c r="R124" i="2"/>
  <c r="R127" i="2"/>
  <c r="R129" i="2"/>
  <c r="R130" i="2"/>
  <c r="R131" i="2"/>
  <c r="R138" i="2"/>
  <c r="R32" i="2"/>
  <c r="R33" i="2"/>
  <c r="R165" i="2"/>
  <c r="R166" i="2"/>
  <c r="R167" i="2"/>
  <c r="R172" i="2"/>
  <c r="R173" i="2"/>
  <c r="R174" i="2"/>
  <c r="R175" i="2"/>
  <c r="R176" i="2"/>
  <c r="R177" i="2"/>
  <c r="R178" i="2"/>
  <c r="R189" i="2"/>
  <c r="R190" i="2"/>
  <c r="R191" i="2"/>
  <c r="R3" i="2"/>
  <c r="R14" i="2"/>
  <c r="R82" i="2"/>
  <c r="R107" i="2"/>
  <c r="R108" i="2"/>
  <c r="R109" i="2"/>
  <c r="R110" i="2"/>
  <c r="R111" i="2"/>
  <c r="R112" i="2"/>
  <c r="R119" i="2"/>
  <c r="R125" i="2"/>
  <c r="R126" i="2"/>
  <c r="R128" i="2"/>
  <c r="R135" i="2"/>
  <c r="R192" i="2"/>
  <c r="R193" i="2"/>
  <c r="R194" i="2"/>
  <c r="R195" i="2"/>
  <c r="R196" i="2"/>
  <c r="R197" i="2"/>
  <c r="R198" i="2"/>
  <c r="R199" i="2"/>
  <c r="R200" i="2"/>
  <c r="R201" i="2"/>
  <c r="R202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36" i="2"/>
  <c r="R37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3" i="2"/>
  <c r="R74" i="2"/>
  <c r="R98" i="2"/>
  <c r="R132" i="2"/>
  <c r="R133" i="2"/>
  <c r="R134" i="2"/>
  <c r="R142" i="2"/>
  <c r="R145" i="2"/>
  <c r="R149" i="2"/>
  <c r="R150" i="2"/>
  <c r="R151" i="2"/>
  <c r="R152" i="2"/>
  <c r="R153" i="2"/>
  <c r="R156" i="2"/>
  <c r="R157" i="2"/>
  <c r="R158" i="2"/>
  <c r="R159" i="2"/>
  <c r="R160" i="2"/>
  <c r="R161" i="2"/>
  <c r="R162" i="2"/>
  <c r="R163" i="2"/>
  <c r="R164" i="2"/>
  <c r="R168" i="2"/>
  <c r="R169" i="2"/>
  <c r="R170" i="2"/>
  <c r="R171" i="2"/>
  <c r="R179" i="2"/>
  <c r="R180" i="2"/>
  <c r="R181" i="2"/>
  <c r="R182" i="2"/>
  <c r="R183" i="2"/>
  <c r="R184" i="2"/>
  <c r="R185" i="2"/>
  <c r="R186" i="2"/>
  <c r="R187" i="2"/>
  <c r="R188" i="2"/>
  <c r="R72" i="2"/>
  <c r="R76" i="2"/>
  <c r="R77" i="2"/>
  <c r="R78" i="2"/>
  <c r="R96" i="2"/>
  <c r="R97" i="2"/>
  <c r="R136" i="2"/>
  <c r="R139" i="2"/>
  <c r="R140" i="2"/>
  <c r="R141" i="2"/>
  <c r="R143" i="2"/>
  <c r="R144" i="2"/>
  <c r="R146" i="2"/>
  <c r="R147" i="2"/>
  <c r="R148" i="2"/>
  <c r="R114" i="2"/>
  <c r="R203" i="2"/>
  <c r="R216" i="2"/>
  <c r="R217" i="2"/>
  <c r="R218" i="2"/>
  <c r="R219" i="2"/>
  <c r="R71" i="2"/>
  <c r="R80" i="2"/>
  <c r="R31" i="2"/>
  <c r="R99" i="2"/>
  <c r="R75" i="2"/>
  <c r="R220" i="2"/>
  <c r="R221" i="2"/>
  <c r="Q4" i="2"/>
  <c r="Q6" i="2"/>
  <c r="Q7" i="2"/>
  <c r="Q8" i="2"/>
  <c r="Q9" i="2"/>
  <c r="Q12" i="2"/>
  <c r="Q13" i="2"/>
  <c r="Q15" i="2"/>
  <c r="Q16" i="2"/>
  <c r="Q18" i="2"/>
  <c r="Q19" i="2"/>
  <c r="Q20" i="2"/>
  <c r="Q21" i="2"/>
  <c r="Q23" i="2"/>
  <c r="Q24" i="2"/>
  <c r="Q25" i="2"/>
  <c r="Q26" i="2"/>
  <c r="Q27" i="2"/>
  <c r="Q28" i="2"/>
  <c r="Q29" i="2"/>
  <c r="Q30" i="2"/>
  <c r="Q35" i="2"/>
  <c r="Q38" i="2"/>
  <c r="Q83" i="2"/>
  <c r="Q84" i="2"/>
  <c r="Q85" i="2"/>
  <c r="Q86" i="2"/>
  <c r="Q93" i="2"/>
  <c r="Q100" i="2"/>
  <c r="Q104" i="2"/>
  <c r="Q106" i="2"/>
  <c r="Q113" i="2"/>
  <c r="Q154" i="2"/>
  <c r="Q115" i="2"/>
  <c r="Q116" i="2"/>
  <c r="Q117" i="2"/>
  <c r="Q118" i="2"/>
  <c r="Q122" i="2"/>
  <c r="Q123" i="2"/>
  <c r="Q124" i="2"/>
  <c r="Q127" i="2"/>
  <c r="Q129" i="2"/>
  <c r="Q130" i="2"/>
  <c r="Q131" i="2"/>
  <c r="Q138" i="2"/>
  <c r="Q32" i="2"/>
  <c r="Q33" i="2"/>
  <c r="Q165" i="2"/>
  <c r="Q166" i="2"/>
  <c r="Q167" i="2"/>
  <c r="Q172" i="2"/>
  <c r="Q173" i="2"/>
  <c r="Q174" i="2"/>
  <c r="Q175" i="2"/>
  <c r="Q176" i="2"/>
  <c r="Q177" i="2"/>
  <c r="Q178" i="2"/>
  <c r="Q189" i="2"/>
  <c r="Q190" i="2"/>
  <c r="Q191" i="2"/>
  <c r="Q3" i="2"/>
  <c r="Q14" i="2"/>
  <c r="Q82" i="2"/>
  <c r="Q107" i="2"/>
  <c r="Q108" i="2"/>
  <c r="Q109" i="2"/>
  <c r="Q110" i="2"/>
  <c r="Q111" i="2"/>
  <c r="Q112" i="2"/>
  <c r="Q119" i="2"/>
  <c r="Q125" i="2"/>
  <c r="Q126" i="2"/>
  <c r="Q128" i="2"/>
  <c r="Q135" i="2"/>
  <c r="Q192" i="2"/>
  <c r="Q193" i="2"/>
  <c r="Q194" i="2"/>
  <c r="Q195" i="2"/>
  <c r="Q196" i="2"/>
  <c r="Q197" i="2"/>
  <c r="Q198" i="2"/>
  <c r="Q199" i="2"/>
  <c r="Q200" i="2"/>
  <c r="Q201" i="2"/>
  <c r="Q202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36" i="2"/>
  <c r="Q37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3" i="2"/>
  <c r="Q74" i="2"/>
  <c r="Q98" i="2"/>
  <c r="Q132" i="2"/>
  <c r="Q133" i="2"/>
  <c r="Q134" i="2"/>
  <c r="Q142" i="2"/>
  <c r="Q145" i="2"/>
  <c r="Q149" i="2"/>
  <c r="Q150" i="2"/>
  <c r="Q151" i="2"/>
  <c r="Q152" i="2"/>
  <c r="Q153" i="2"/>
  <c r="Q156" i="2"/>
  <c r="Q157" i="2"/>
  <c r="Q158" i="2"/>
  <c r="Q159" i="2"/>
  <c r="Q160" i="2"/>
  <c r="Q161" i="2"/>
  <c r="Q162" i="2"/>
  <c r="Q163" i="2"/>
  <c r="Q164" i="2"/>
  <c r="Q168" i="2"/>
  <c r="Q169" i="2"/>
  <c r="Q170" i="2"/>
  <c r="Q171" i="2"/>
  <c r="Q179" i="2"/>
  <c r="Q180" i="2"/>
  <c r="Q181" i="2"/>
  <c r="Q182" i="2"/>
  <c r="Q183" i="2"/>
  <c r="Q184" i="2"/>
  <c r="Q185" i="2"/>
  <c r="Q186" i="2"/>
  <c r="Q187" i="2"/>
  <c r="Q188" i="2"/>
  <c r="Q72" i="2"/>
  <c r="Q76" i="2"/>
  <c r="Q77" i="2"/>
  <c r="Q78" i="2"/>
  <c r="Q96" i="2"/>
  <c r="Q97" i="2"/>
  <c r="Q136" i="2"/>
  <c r="Q139" i="2"/>
  <c r="Q140" i="2"/>
  <c r="Q141" i="2"/>
  <c r="Q143" i="2"/>
  <c r="Q144" i="2"/>
  <c r="Q146" i="2"/>
  <c r="Q147" i="2"/>
  <c r="Q148" i="2"/>
  <c r="Q114" i="2"/>
  <c r="Q203" i="2"/>
  <c r="Q216" i="2"/>
  <c r="Q217" i="2"/>
  <c r="Q218" i="2"/>
  <c r="Q219" i="2"/>
  <c r="Q71" i="2"/>
  <c r="Q80" i="2"/>
  <c r="Q31" i="2"/>
  <c r="Q99" i="2"/>
  <c r="Q75" i="2"/>
  <c r="Q220" i="2"/>
  <c r="Q221" i="2"/>
  <c r="G228" i="2"/>
  <c r="G227" i="2"/>
  <c r="G226" i="2"/>
  <c r="G225" i="2"/>
  <c r="C226" i="2"/>
  <c r="C225" i="2"/>
  <c r="J223" i="2"/>
  <c r="F130" i="4"/>
  <c r="F129" i="4"/>
  <c r="F128" i="4"/>
  <c r="B128" i="4"/>
  <c r="F127" i="4"/>
  <c r="F131" i="4" s="1"/>
  <c r="B127" i="4"/>
  <c r="B131" i="4" s="1"/>
  <c r="H125" i="4"/>
  <c r="H127" i="4" s="1"/>
  <c r="R223" i="2" l="1"/>
  <c r="R225" i="2" s="1"/>
  <c r="Q223" i="2"/>
  <c r="Q225" i="2" s="1"/>
  <c r="F105" i="5"/>
  <c r="F104" i="5"/>
  <c r="F103" i="5"/>
  <c r="B103" i="5"/>
  <c r="F102" i="5"/>
  <c r="F106" i="5" s="1"/>
  <c r="B102" i="5"/>
  <c r="B105" i="5" s="1"/>
  <c r="H100" i="5"/>
  <c r="H102" i="5" s="1"/>
  <c r="F105" i="3"/>
  <c r="F104" i="3"/>
  <c r="F103" i="3"/>
  <c r="B103" i="3"/>
  <c r="F102" i="3"/>
  <c r="F106" i="3" s="1"/>
  <c r="B102" i="3"/>
  <c r="B105" i="3" s="1"/>
  <c r="H100" i="3"/>
  <c r="H102" i="3" s="1"/>
  <c r="I70" i="3"/>
  <c r="I68" i="3"/>
  <c r="G229" i="2" l="1"/>
  <c r="C229" i="2"/>
  <c r="J225" i="2"/>
  <c r="Q227" i="2" s="1"/>
  <c r="R227" i="2" l="1"/>
  <c r="B128" i="1"/>
  <c r="B127" i="1"/>
  <c r="B131" i="1" l="1"/>
  <c r="F130" i="1"/>
  <c r="F129" i="1"/>
  <c r="F128" i="1"/>
  <c r="F127" i="1"/>
  <c r="H125" i="1"/>
  <c r="H127" i="1" s="1"/>
  <c r="I87" i="1"/>
  <c r="F131" i="1" l="1"/>
</calcChain>
</file>

<file path=xl/sharedStrings.xml><?xml version="1.0" encoding="utf-8"?>
<sst xmlns="http://schemas.openxmlformats.org/spreadsheetml/2006/main" count="9422" uniqueCount="754">
  <si>
    <t>Progr.</t>
  </si>
  <si>
    <t>Postazione in OdS 
o Nuova</t>
  </si>
  <si>
    <t>Numero-Nome Postazione</t>
  </si>
  <si>
    <t>Codice
Impianto</t>
  </si>
  <si>
    <t>Centr</t>
  </si>
  <si>
    <t>Sistema</t>
  </si>
  <si>
    <t>Plan. e Cfg
Inviate</t>
  </si>
  <si>
    <t>N.ro Dispositivi</t>
  </si>
  <si>
    <t>OdS</t>
  </si>
  <si>
    <t>101-Cassia/Grottarossa</t>
  </si>
  <si>
    <t>20034</t>
  </si>
  <si>
    <t>NC</t>
  </si>
  <si>
    <t>da CENTR.</t>
  </si>
  <si>
    <t>SI</t>
  </si>
  <si>
    <t xml:space="preserve">105-Cassia Nuova/Fabbroni/Pareto   </t>
  </si>
  <si>
    <t>20029</t>
  </si>
  <si>
    <t>Omnia</t>
  </si>
  <si>
    <t xml:space="preserve">106-Flaminia Nuova/Valdagno   </t>
  </si>
  <si>
    <t>20012</t>
  </si>
  <si>
    <t xml:space="preserve">302-Cassia/Flaminia/C.so Francia   </t>
  </si>
  <si>
    <t>20008</t>
  </si>
  <si>
    <t xml:space="preserve">108-C.so Francia/Vigna Stelluti  </t>
  </si>
  <si>
    <t>20028</t>
  </si>
  <si>
    <t xml:space="preserve">109-Pineta Sacchetti/Pascucci   </t>
  </si>
  <si>
    <t>19057</t>
  </si>
  <si>
    <t xml:space="preserve">112-Pineta Sacchetti/Forte Braschi  </t>
  </si>
  <si>
    <t>19054</t>
  </si>
  <si>
    <t xml:space="preserve">113-Pineta Sacchetti/Tardini   </t>
  </si>
  <si>
    <t>18039</t>
  </si>
  <si>
    <t xml:space="preserve">114-Boccea/Cornelia/Giureconsulti    </t>
  </si>
  <si>
    <t>18009</t>
  </si>
  <si>
    <t xml:space="preserve">115-Aurelia/Cornelia/Irnerio    </t>
  </si>
  <si>
    <t>18015</t>
  </si>
  <si>
    <t>116-P.zza Villa Carpegna/Madonna del Riposo</t>
  </si>
  <si>
    <t>18074</t>
  </si>
  <si>
    <t xml:space="preserve">117-Gregorio VII/Villa Carpegna  </t>
  </si>
  <si>
    <t>18016</t>
  </si>
  <si>
    <t xml:space="preserve">119-Boccea/Battistini    </t>
  </si>
  <si>
    <t>18042</t>
  </si>
  <si>
    <t xml:space="preserve">120-Boccea/Torrevecchia    </t>
  </si>
  <si>
    <t>18020</t>
  </si>
  <si>
    <t xml:space="preserve">121-Pio XI/Anastasio II  </t>
  </si>
  <si>
    <t>18005</t>
  </si>
  <si>
    <t xml:space="preserve">122-Pio XI/Gregorio VII  </t>
  </si>
  <si>
    <t>18022</t>
  </si>
  <si>
    <t xml:space="preserve">123-Anastasio II   </t>
  </si>
  <si>
    <t>18002</t>
  </si>
  <si>
    <t xml:space="preserve">124-Anastasio II/Savorelli   </t>
  </si>
  <si>
    <t>18001</t>
  </si>
  <si>
    <t xml:space="preserve">125-Gregorio VII/Monte del Gallo </t>
  </si>
  <si>
    <t>18037</t>
  </si>
  <si>
    <t>Tmacs</t>
  </si>
  <si>
    <t xml:space="preserve">126-Largo Porta Cavalleggeri  </t>
  </si>
  <si>
    <t>18004</t>
  </si>
  <si>
    <t xml:space="preserve">127-Piazza della Rovere  </t>
  </si>
  <si>
    <t>01031</t>
  </si>
  <si>
    <t xml:space="preserve">128-L.re Sangallo/Ponte PASA  </t>
  </si>
  <si>
    <t>01055</t>
  </si>
  <si>
    <t xml:space="preserve">129-L.re Fiorentini/Ponte V.E. II </t>
  </si>
  <si>
    <t>01077</t>
  </si>
  <si>
    <t xml:space="preserve">130-L.re in Sassia/Ponte V.E.II </t>
  </si>
  <si>
    <t>17017</t>
  </si>
  <si>
    <t xml:space="preserve">132-Piazza Adriana/Crescenzio   </t>
  </si>
  <si>
    <t>17024</t>
  </si>
  <si>
    <t xml:space="preserve">133-Ponte Umberto I/P.zza Tribunali </t>
  </si>
  <si>
    <t>17016</t>
  </si>
  <si>
    <t xml:space="preserve">134-Ponte Umberto I/Zanardelli  </t>
  </si>
  <si>
    <t>01073</t>
  </si>
  <si>
    <t>135-Ponte Regina Margherita/L.re in Augusta</t>
  </si>
  <si>
    <t>02035</t>
  </si>
  <si>
    <t>139-P.le Maresciallo Giardino/L.re della Vittoria</t>
  </si>
  <si>
    <t>17010</t>
  </si>
  <si>
    <t>140-Ponte Duca d'Aosta/Stadio</t>
  </si>
  <si>
    <t>20009</t>
  </si>
  <si>
    <t xml:space="preserve">143-C.so Francia/Flaminia   </t>
  </si>
  <si>
    <t>20095</t>
  </si>
  <si>
    <t xml:space="preserve">144-Ponte Milvio/Tor di Quinto </t>
  </si>
  <si>
    <t>20010</t>
  </si>
  <si>
    <t xml:space="preserve">204-P.le Appio   </t>
  </si>
  <si>
    <t>09042</t>
  </si>
  <si>
    <t xml:space="preserve">206-Porta S.Giovanni/E.Filiberto   </t>
  </si>
  <si>
    <t>01054</t>
  </si>
  <si>
    <t xml:space="preserve">208-Porta Metronia   </t>
  </si>
  <si>
    <t>01052</t>
  </si>
  <si>
    <t>Prox Centr</t>
  </si>
  <si>
    <t xml:space="preserve">209-Caracalla/Colombo/Druso    </t>
  </si>
  <si>
    <t>01048</t>
  </si>
  <si>
    <t xml:space="preserve">210-Colombo/Porta Ardeatina   </t>
  </si>
  <si>
    <t>01004</t>
  </si>
  <si>
    <t xml:space="preserve">211-Colombo/Navigatori    </t>
  </si>
  <si>
    <t>11005</t>
  </si>
  <si>
    <t xml:space="preserve">212-Colombo/Laurentina    </t>
  </si>
  <si>
    <t>11002</t>
  </si>
  <si>
    <t xml:space="preserve">213-Colombo/CiviltÃ  del Lavoro  </t>
  </si>
  <si>
    <t>12001</t>
  </si>
  <si>
    <t xml:space="preserve">215-Colombo/Agiati    </t>
  </si>
  <si>
    <t>11009</t>
  </si>
  <si>
    <t xml:space="preserve">216-Colombo/Leonori    </t>
  </si>
  <si>
    <t>11010</t>
  </si>
  <si>
    <t xml:space="preserve">214-Colombo/Genocchi    </t>
  </si>
  <si>
    <t>11006</t>
  </si>
  <si>
    <t xml:space="preserve">217-Colombo/Europa    </t>
  </si>
  <si>
    <t>12002</t>
  </si>
  <si>
    <t xml:space="preserve">218-Colombo/Umanesimo dir. GRA  </t>
  </si>
  <si>
    <t>12060</t>
  </si>
  <si>
    <t xml:space="preserve">219-Colombo/Umanesimo dir. Centro  </t>
  </si>
  <si>
    <t>12062</t>
  </si>
  <si>
    <t xml:space="preserve">220-Colombo/Oceani    </t>
  </si>
  <si>
    <t>12055</t>
  </si>
  <si>
    <t xml:space="preserve">226-Laurentina/Umanesimo    </t>
  </si>
  <si>
    <t>12020</t>
  </si>
  <si>
    <t xml:space="preserve">227-Laurentina/Vigna Murata   </t>
  </si>
  <si>
    <t>12005</t>
  </si>
  <si>
    <t xml:space="preserve">228-Laurentina/Serafico    </t>
  </si>
  <si>
    <t>12010</t>
  </si>
  <si>
    <t xml:space="preserve">229-Laurentina/Ardigò    </t>
  </si>
  <si>
    <t>11026</t>
  </si>
  <si>
    <t xml:space="preserve">230-Laurentina/Silone    </t>
  </si>
  <si>
    <t>12047</t>
  </si>
  <si>
    <t xml:space="preserve">231-Laurentina/Acqua Acetosa Ostiense  </t>
  </si>
  <si>
    <t>12030</t>
  </si>
  <si>
    <t xml:space="preserve">232-Laurentina/Tor Pagnotta   </t>
  </si>
  <si>
    <t>12104</t>
  </si>
  <si>
    <t xml:space="preserve">241-Piazzale della Radio  </t>
  </si>
  <si>
    <t>15009</t>
  </si>
  <si>
    <t xml:space="preserve">301-Marconi/Grimaldi    </t>
  </si>
  <si>
    <t>15004</t>
  </si>
  <si>
    <t xml:space="preserve">243-Marconi/L.re Pietrapapa   </t>
  </si>
  <si>
    <t>15006</t>
  </si>
  <si>
    <t xml:space="preserve">244-Marconi/Edison    </t>
  </si>
  <si>
    <t>11012</t>
  </si>
  <si>
    <t xml:space="preserve">245-Marconi/Temistocle Calzecchi Onesti  </t>
  </si>
  <si>
    <t>11040</t>
  </si>
  <si>
    <t xml:space="preserve">246-Marconi/Bortolotti    </t>
  </si>
  <si>
    <t>11019</t>
  </si>
  <si>
    <t xml:space="preserve">250-Trastevere/Induno    </t>
  </si>
  <si>
    <t>01001</t>
  </si>
  <si>
    <t xml:space="preserve">251-Trastevere/Glorioso    </t>
  </si>
  <si>
    <t>01070</t>
  </si>
  <si>
    <t xml:space="preserve">252-Portuense/Porta Portese   </t>
  </si>
  <si>
    <t>01053</t>
  </si>
  <si>
    <t xml:space="preserve">256-Portuense/Folchi    </t>
  </si>
  <si>
    <t>15016</t>
  </si>
  <si>
    <t xml:space="preserve">257-Portuense/Ramazzini    </t>
  </si>
  <si>
    <t>15011</t>
  </si>
  <si>
    <t xml:space="preserve">263-Bravetta/Silvestri/Consolata    </t>
  </si>
  <si>
    <t>16067</t>
  </si>
  <si>
    <t xml:space="preserve">265-Bravetta/Feltreschi    </t>
  </si>
  <si>
    <t>16086</t>
  </si>
  <si>
    <t xml:space="preserve">266-Largo Don Guanella  </t>
  </si>
  <si>
    <t>16044</t>
  </si>
  <si>
    <t xml:space="preserve">267-Porta Capena   </t>
  </si>
  <si>
    <t>01051</t>
  </si>
  <si>
    <t xml:space="preserve">276-Greca/Bocca della Verità  </t>
  </si>
  <si>
    <t>01020</t>
  </si>
  <si>
    <t xml:space="preserve">278-Largo Vittime del Terrorismo/Caracalla </t>
  </si>
  <si>
    <t>01153</t>
  </si>
  <si>
    <t>Nuova</t>
  </si>
  <si>
    <t xml:space="preserve">137-P.le Clodio Est  </t>
  </si>
  <si>
    <t>17041</t>
  </si>
  <si>
    <t>Postazione nella tabella originaria ma non in OdS</t>
  </si>
  <si>
    <t xml:space="preserve">138-P.le Clodio Ovest  </t>
  </si>
  <si>
    <t>405-Portuense/Vigna Pia</t>
  </si>
  <si>
    <t>406-Portuense/Imbrecciato</t>
  </si>
  <si>
    <t>407-Portuense/Belluzzo</t>
  </si>
  <si>
    <t>412-L.re Cadorna/Morra di Lavriano</t>
  </si>
  <si>
    <t>413-L.re M.llo Diaz/Largo M.llo Diaz</t>
  </si>
  <si>
    <t>414-L.re della Vittoria/Timavo</t>
  </si>
  <si>
    <t>415-Cipro/Ammiragli</t>
  </si>
  <si>
    <t>416-Anastasio II/Uscita Centro Commerciale</t>
  </si>
  <si>
    <t>417-Angelo Emo/Capolinea Bus</t>
  </si>
  <si>
    <t>418-Trionfale/Università Sacro Cuore</t>
  </si>
  <si>
    <t>429-Piazzale degli Eroi</t>
  </si>
  <si>
    <t>430-Piazza S.Croce Gerusalemme</t>
  </si>
  <si>
    <t>431-Piazza S.Croce Gerusalemme/Sessoriana</t>
  </si>
  <si>
    <t>N.ro di Radar su planimetrie e cfg inviate fino al 23/10/2023</t>
  </si>
  <si>
    <t>102-Trionfale/Barellai</t>
  </si>
  <si>
    <t>19066</t>
  </si>
  <si>
    <t>Da inviare</t>
  </si>
  <si>
    <t>IPOTESI SU MAPPA/FOTO - CFG DA INVIARE</t>
  </si>
  <si>
    <t xml:space="preserve">118-Boccea/Gregorio XIII   </t>
  </si>
  <si>
    <t>18080</t>
  </si>
  <si>
    <t xml:space="preserve">207-S.Giovanni Laterano/Merulana   </t>
  </si>
  <si>
    <t>01062</t>
  </si>
  <si>
    <t>CFG DA INVIARE</t>
  </si>
  <si>
    <t xml:space="preserve">234-Colli Portuensi/Morelli   </t>
  </si>
  <si>
    <t>16033</t>
  </si>
  <si>
    <t>Agg Centr</t>
  </si>
  <si>
    <t>Sigma Plus</t>
  </si>
  <si>
    <t xml:space="preserve">235-Colli Portuensi/Monteverde   </t>
  </si>
  <si>
    <t>16022</t>
  </si>
  <si>
    <t xml:space="preserve">236-Colli Portuensi/Gianicolense   </t>
  </si>
  <si>
    <t>16009</t>
  </si>
  <si>
    <t xml:space="preserve">238-Gianicolense/Monteverde    </t>
  </si>
  <si>
    <t>16006</t>
  </si>
  <si>
    <t xml:space="preserve">239-Gianicolense/Dunant    </t>
  </si>
  <si>
    <t>16004</t>
  </si>
  <si>
    <t xml:space="preserve">240-Piazzale Biondo   </t>
  </si>
  <si>
    <t>16015</t>
  </si>
  <si>
    <t xml:space="preserve">248-Marconi/Metro    </t>
  </si>
  <si>
    <t>12044</t>
  </si>
  <si>
    <t xml:space="preserve">261-Casetta Mattei/Poggio Verde  </t>
  </si>
  <si>
    <t>15065</t>
  </si>
  <si>
    <t xml:space="preserve">262-Bravetta/Scaligeri    </t>
  </si>
  <si>
    <t>16041</t>
  </si>
  <si>
    <t xml:space="preserve">264-Pisana/Grimaldi    </t>
  </si>
  <si>
    <t>16091</t>
  </si>
  <si>
    <t xml:space="preserve">272-Marco Polo/Beccari   </t>
  </si>
  <si>
    <t>01138</t>
  </si>
  <si>
    <t>432-Trionfale/Ipogeo degli Ottavi</t>
  </si>
  <si>
    <t>433-Pineta Sacchetti/Calasanziane</t>
  </si>
  <si>
    <t>434-Battistini/Forte Braschi</t>
  </si>
  <si>
    <t>435-Battistini/Monti di Primavalle</t>
  </si>
  <si>
    <t>436-Trionfale/Fratelli Gualandi</t>
  </si>
  <si>
    <t>437-Boccea/Don Carlo Gnocchi</t>
  </si>
  <si>
    <t>438-Boccea/Bra</t>
  </si>
  <si>
    <t>439-Torrevecchia/Cardinale Costantini</t>
  </si>
  <si>
    <t>440-Torrevecchia/Aloisi Masella</t>
  </si>
  <si>
    <t>441-Cernaia/Volturno</t>
  </si>
  <si>
    <t>442-Cernaia/Goito</t>
  </si>
  <si>
    <t>RADAR DA AGGIUNGERE A 209-CARACALLA/COLOMBO/DRUSO</t>
  </si>
  <si>
    <t>444-Piazza Antonio Meucci/Oderisi da Gubbio</t>
  </si>
  <si>
    <t>445-Merulana/Macchiavelli</t>
  </si>
  <si>
    <t>446-Largo Brancaccio</t>
  </si>
  <si>
    <t>447-Piazza Indipendenza/S.Martino della Battaglia</t>
  </si>
  <si>
    <t>448-Manzoni/Conte Verde</t>
  </si>
  <si>
    <t>449-Largo del Tritone</t>
  </si>
  <si>
    <t>450-Flaminia/Piazza dei Carracci</t>
  </si>
  <si>
    <t>451-Bernardo Ramazzini/Folchi</t>
  </si>
  <si>
    <t>452-Bernardo Ramazzini/Val Tellina</t>
  </si>
  <si>
    <t>453-Piazza Cavour/Cicerone</t>
  </si>
  <si>
    <t>454-Pineta Sacchetti/S.Cleto Papa</t>
  </si>
  <si>
    <t>455-Pineta Sacchetti/Marconi</t>
  </si>
  <si>
    <t>26 Nuove sostuiscono postazioni originarie</t>
  </si>
  <si>
    <t>12 Nuove sono postazioni aggiuntive</t>
  </si>
  <si>
    <t>Ristrutturazione M9 in corso</t>
  </si>
  <si>
    <t>Indicato come impianto agibile (lista impianti inviata)</t>
  </si>
  <si>
    <t>Impianto modificato/ristrutturato di recente</t>
  </si>
  <si>
    <t>Sensori su palo a sbraccio vicino al regolatore (3-4 metri di scavo eventuale su marciapiede)</t>
  </si>
  <si>
    <t>Sensori su palo a sbraccio vicino al regolatore (1-2 metri di scavo eventuale su marciapiede)</t>
  </si>
  <si>
    <t xml:space="preserve">Configurazione sensori definita con 1 sensore su ciascun palo a sbraccio (se cavidotti agibili) altrimenti possibilità di mettere 3 sensori su palina vicino al regolatore su spartitraffico centrale di viale dei Colli Portuensi (2-3 metri di scavo su marciapiede) </t>
  </si>
  <si>
    <t xml:space="preserve">Configurazione sensori definita con 3 sensori su palo a sbraccio di via di Monteverde vicino al regolatore su marciapiede di viale dei Colli Portuensi dir. Portuense (3-4 metri di scavo eventuale su marciapiede) ed 1 sensore su uno dei due pali a sbraccio di viale Colli Portuensi secondo le traversate agibili, con eventualità di metterlo su palina attaccata al regolatore </t>
  </si>
  <si>
    <t>Sensori sui palo a sbraccio di circonvallazione Gianicolense dir. Casaletto, 3 su palo a sbraccio attaccato al regolatore al centro carreggiata, il 4 sensore sull'altro palo a sbraccio dell'approccio di circonvallazione Gianicolense dir. Casaletto (cavidotti agibili da verifica per CRoads)</t>
  </si>
  <si>
    <t xml:space="preserve">Sensori su palo a sbraccio di via di Monteverde vicino al regolatore su marciapiede di c.ne Gianicolense dir. Trastevere (15 metri circa di scavo eventuale su marciapiede) </t>
  </si>
  <si>
    <t>Ristrutturato di recente - cavidotti dovrebbero essere agibili</t>
  </si>
  <si>
    <t xml:space="preserve">Sensori su palo a sbraccio di viale Trastevere vicino al regolatore su marciapiede viale Trastevere dir. Dunant (13-14 metri circa di scavo eventuale su marciapiede) </t>
  </si>
  <si>
    <t>Sensori su palo a sbraccio di viale Marconi dir. Colombo vicino al regolatore  (2-3 metri di scavo eventuale su marciapiede) - dovrebbero passare i cavi almeno fino al centro della carreggiata dove è meglio mettere il secondo sensore se possibile</t>
  </si>
  <si>
    <t xml:space="preserve">Configurazione sensori definita con 3 sensori su palo a sbraccio di via Casetta Mattei (se cavidotti/traversata da regolatore agibile) altrimenti possibilità di mettere 3 sensori su palo a sbraccio e/o palina vicino al regolatore (2-3 metri di scavo su marciapiede sia per arrivare alla palina che al palo a sbraccio) </t>
  </si>
  <si>
    <t>Sensori su palo a sbraccio di via di Bravetta vicino al regolatore  (2-3 metri di scavo eventuale su marciapiede)</t>
  </si>
  <si>
    <t>Sensori su palo a sbraccio di via della Pisana vicino al regolatore  (2-3 metri di scavo eventuale su marciapiede)</t>
  </si>
  <si>
    <t>Sensori su palo a sbraccio di via Marco Polo vicino al regolatore (4-5 metri di scavo eventuale, 1 metro su marciapiede, 3-4 su controstrada) - possibilità di spostare i sensori su altri pali/apline in base ai cavidotti agibili</t>
  </si>
  <si>
    <t>CFG
GO</t>
  </si>
  <si>
    <t>CFG. DEF. DaFare/
aff.GO/ daINVIARE</t>
  </si>
  <si>
    <t>CFG. 
DEF. INST.</t>
  </si>
  <si>
    <t>INST.
Inter-faccia UTC</t>
  </si>
  <si>
    <t>Note</t>
  </si>
  <si>
    <t>ok</t>
  </si>
  <si>
    <t>INST.</t>
  </si>
  <si>
    <t>NO</t>
  </si>
  <si>
    <t>Cfg. Radar e IP da verificare dopo Inst.Interfaccia</t>
  </si>
  <si>
    <t>aff.GO</t>
  </si>
  <si>
    <t>DaFare</t>
  </si>
  <si>
    <t>INVIATA</t>
  </si>
  <si>
    <t>da CENTR. con Sistema?</t>
  </si>
  <si>
    <t xml:space="preserve">141-Ponte Duca d'Aosta/P.zza Mancini </t>
  </si>
  <si>
    <t>02064</t>
  </si>
  <si>
    <t xml:space="preserve">142-P.zza Gentile da Fabriano </t>
  </si>
  <si>
    <t>02077</t>
  </si>
  <si>
    <t xml:space="preserve">145-Salaria/Somalia    </t>
  </si>
  <si>
    <t>02045</t>
  </si>
  <si>
    <t xml:space="preserve">146-Salaria/Priscilla    </t>
  </si>
  <si>
    <t>02044</t>
  </si>
  <si>
    <t xml:space="preserve">147-Salaria/Panama/Chiana    </t>
  </si>
  <si>
    <t>02057</t>
  </si>
  <si>
    <t xml:space="preserve">148-Regina Margherita/Salaria/Liegi   </t>
  </si>
  <si>
    <t>02052</t>
  </si>
  <si>
    <t xml:space="preserve">149-Parioli/Stoppani    </t>
  </si>
  <si>
    <t>02059</t>
  </si>
  <si>
    <t xml:space="preserve">150-Piazza Ungheria/Liegi   </t>
  </si>
  <si>
    <t xml:space="preserve">151-Rossini/Paisiello    </t>
  </si>
  <si>
    <t>02033</t>
  </si>
  <si>
    <t xml:space="preserve">152-Piazza Pitagora/Stoppani   </t>
  </si>
  <si>
    <t>02031</t>
  </si>
  <si>
    <t xml:space="preserve">153-Parioli/Boccioni    </t>
  </si>
  <si>
    <t>02027</t>
  </si>
  <si>
    <t xml:space="preserve">154-Regina Margherita/Nomentana   </t>
  </si>
  <si>
    <t>03008</t>
  </si>
  <si>
    <t xml:space="preserve">155-Nomentana/XXI Aprile   </t>
  </si>
  <si>
    <t>03007</t>
  </si>
  <si>
    <t xml:space="preserve">156-Regina Margherita/Morgagni   </t>
  </si>
  <si>
    <t>03017</t>
  </si>
  <si>
    <t xml:space="preserve">157-Regina Margherita/UniversitÃ    </t>
  </si>
  <si>
    <t>03015</t>
  </si>
  <si>
    <t xml:space="preserve">158-Regina Elena/Verano   </t>
  </si>
  <si>
    <t>03019</t>
  </si>
  <si>
    <t xml:space="preserve">159-Verano/De Lollis   </t>
  </si>
  <si>
    <t>03027</t>
  </si>
  <si>
    <t xml:space="preserve">163-Nomentana/Graf/Kant    </t>
  </si>
  <si>
    <t>04027</t>
  </si>
  <si>
    <t xml:space="preserve">164-Tiburtina/Portonaccio    </t>
  </si>
  <si>
    <t>05002</t>
  </si>
  <si>
    <t xml:space="preserve">165-Taranto/Aosta/Monza    </t>
  </si>
  <si>
    <t>09006</t>
  </si>
  <si>
    <t xml:space="preserve">167-Monti TIburtini/Lanciani   </t>
  </si>
  <si>
    <t>03033</t>
  </si>
  <si>
    <t xml:space="preserve">168-Nomentana/Gorizia/Nibby    </t>
  </si>
  <si>
    <t>03005</t>
  </si>
  <si>
    <t xml:space="preserve">169-Nomentana/Trieste/Spallanzani    </t>
  </si>
  <si>
    <t>03009</t>
  </si>
  <si>
    <t xml:space="preserve">170-Nomentana/S.Angela Merici   </t>
  </si>
  <si>
    <t>02023</t>
  </si>
  <si>
    <t xml:space="preserve">171-Nomentana/Val d'Aosta   </t>
  </si>
  <si>
    <t>04021</t>
  </si>
  <si>
    <t xml:space="preserve">172-Nomentana/Sempione    </t>
  </si>
  <si>
    <t>04003</t>
  </si>
  <si>
    <t xml:space="preserve">173-Monti Tiburtini/Durantini   </t>
  </si>
  <si>
    <t>05006</t>
  </si>
  <si>
    <t xml:space="preserve">174-Tiburtina/Ottoboni    </t>
  </si>
  <si>
    <t>05012</t>
  </si>
  <si>
    <t xml:space="preserve">175-Tiburtina/Casal Bruciato   </t>
  </si>
  <si>
    <t>05004</t>
  </si>
  <si>
    <t xml:space="preserve">176-Tiburtina/Galla Placidia/Durantini   </t>
  </si>
  <si>
    <t>05003</t>
  </si>
  <si>
    <t xml:space="preserve">177-Tiburtina/Monti Tiburtini dir. Rebibbia </t>
  </si>
  <si>
    <t>05070</t>
  </si>
  <si>
    <t xml:space="preserve">178-Tiburtina/Monti Tiburtini dir. Portonaccio </t>
  </si>
  <si>
    <t>05009</t>
  </si>
  <si>
    <t xml:space="preserve">179-Tiburtina/S.M. Soccorso   </t>
  </si>
  <si>
    <t>05010</t>
  </si>
  <si>
    <t xml:space="preserve">184-Piazza Primoli   </t>
  </si>
  <si>
    <t>04031</t>
  </si>
  <si>
    <t xml:space="preserve">192-Casilina/Torre Spaccata/Tor Tre Teste </t>
  </si>
  <si>
    <t>08009</t>
  </si>
  <si>
    <t xml:space="preserve">224-Ardeatina/Fotografia    </t>
  </si>
  <si>
    <t>11092</t>
  </si>
  <si>
    <t xml:space="preserve">269-Ostiense/Porto Fluviale/Matteucci   </t>
  </si>
  <si>
    <t>11014</t>
  </si>
  <si>
    <t xml:space="preserve">270-Ostiense/Spizzichina    </t>
  </si>
  <si>
    <t>11037</t>
  </si>
  <si>
    <t xml:space="preserve">271-Ostiense/S.Paolo/Rocco    </t>
  </si>
  <si>
    <t>11015</t>
  </si>
  <si>
    <t xml:space="preserve">288-Tuscolana/Cave    </t>
  </si>
  <si>
    <t>09014</t>
  </si>
  <si>
    <t xml:space="preserve">292-Appia/Arco di Travertino  </t>
  </si>
  <si>
    <t>09001</t>
  </si>
  <si>
    <t xml:space="preserve">296-Tuscolana/Lucio Sestio   </t>
  </si>
  <si>
    <t>10008</t>
  </si>
  <si>
    <t xml:space="preserve">297-Tuscolana/Quadraro    </t>
  </si>
  <si>
    <t>10013</t>
  </si>
  <si>
    <t xml:space="preserve">298-Tuscolana/Buon Consiglio   </t>
  </si>
  <si>
    <t>10010</t>
  </si>
  <si>
    <t xml:space="preserve">299-Tuscolana/Metro Porta Furba  </t>
  </si>
  <si>
    <t>10012</t>
  </si>
  <si>
    <t xml:space="preserve">300-Appia/Capannellle    </t>
  </si>
  <si>
    <t>10019</t>
  </si>
  <si>
    <t xml:space="preserve">303-Appia Nuova/Appia Pignatelli  </t>
  </si>
  <si>
    <t>10022</t>
  </si>
  <si>
    <t xml:space="preserve">304-Appia Nuova/Quarto Miglio  </t>
  </si>
  <si>
    <t>10014</t>
  </si>
  <si>
    <t xml:space="preserve">305-Appia Nuova/Quadraro   </t>
  </si>
  <si>
    <t>10017</t>
  </si>
  <si>
    <t xml:space="preserve">306-Ponte Matteotti/L.re Navi  </t>
  </si>
  <si>
    <t>02019</t>
  </si>
  <si>
    <t xml:space="preserve">307-Ponte Risorgimento/P.le Belle Arti </t>
  </si>
  <si>
    <t>02009</t>
  </si>
  <si>
    <t>401-Nomentana/Villini</t>
  </si>
  <si>
    <t>402-Val di Cogne/Val di Lanzo</t>
  </si>
  <si>
    <t>403-Tirreno/Valle Scrivia</t>
  </si>
  <si>
    <t>404-Piazza Capri</t>
  </si>
  <si>
    <t>408-M.llo Pilsudski/S.Valentino</t>
  </si>
  <si>
    <t>409-Piazza Fiume/Calabria</t>
  </si>
  <si>
    <t>410-Nomentana/Val dOssola</t>
  </si>
  <si>
    <t>411-Monti Tiburtini/Feronia</t>
  </si>
  <si>
    <t>419-Pinciana/Puccini</t>
  </si>
  <si>
    <t>420-Pinciana/Allegri</t>
  </si>
  <si>
    <t>421-C.so Italia/Po</t>
  </si>
  <si>
    <t>422-C.so Italia/Puccini</t>
  </si>
  <si>
    <t>423-Salaria/Aeroporto Urbe</t>
  </si>
  <si>
    <t>424-Portonaccio/Silvio Latino</t>
  </si>
  <si>
    <t>425-Prenestina/Centro Servizi Prenestino</t>
  </si>
  <si>
    <t>426-Togliatti/Centro Servizi Prenestino</t>
  </si>
  <si>
    <t>N.ro di Radar fino al 23/10/2022 compresi realizzati dal lotto ma senza cfg inviate</t>
  </si>
  <si>
    <t>427-Arco di Travertino/Carroceto</t>
  </si>
  <si>
    <t>428-Tuscolana/Occorsio</t>
  </si>
  <si>
    <t xml:space="preserve">183-Jonio/Col di Rezia  </t>
  </si>
  <si>
    <t>04014</t>
  </si>
  <si>
    <t>Sensori su palo a sbraccio su square centrale di viale Jonio vicino al regolatore (5-6 metri di scavo eventuale su square centrale)</t>
  </si>
  <si>
    <t xml:space="preserve">199-Casilina/Pigneto    </t>
  </si>
  <si>
    <t>06020</t>
  </si>
  <si>
    <t>Sensori su palina centro strada vicino a palina con UTT - scavo eventuale dal regolatore 13 metri di cui 10 su strada</t>
  </si>
  <si>
    <t xml:space="preserve">200-Spezia/Nola/Monza    </t>
  </si>
  <si>
    <t>09024</t>
  </si>
  <si>
    <t>Se cavidotti agibili sensori su sbracci diversi, in alternativa sensori su pali a sbraccio e palina lato regolatore - scavo eventuale su marciapiede di 10 m max</t>
  </si>
  <si>
    <t xml:space="preserve">201-Spezia/Caltagirone    </t>
  </si>
  <si>
    <t>09028</t>
  </si>
  <si>
    <t>Dichiarato realizzato dal Lotto, con installazione di 4 sensori, da capire dove e da capire se cavidotti agibili - comunque ci sono un palo a sbraccio ed una palina ognuno a 2-3 metri dal regolatore (scavo su marciapiede), e sui quali è possibile mettere i 4 sensori</t>
  </si>
  <si>
    <t>REALIZZATO DAL LOTTO - CFG DA INVIARE</t>
  </si>
  <si>
    <t xml:space="preserve">221-Grotta Perfetta/Ambrosini   </t>
  </si>
  <si>
    <t>11021</t>
  </si>
  <si>
    <t>Sensori su palo a sbraccio e palina vicini al regolatore, con eventuale scavo su marciapiede di 3-4 metri per arrivare alla palina e 6-7 metri per arrivare al palo a sbraccio</t>
  </si>
  <si>
    <t>222-Grotta Perfetta/Calderon de la Barca</t>
  </si>
  <si>
    <t>11049</t>
  </si>
  <si>
    <t>Sensori su palo a sbraccio di via Grotta Perfetta dir. Ardeatina sullo stesso marciapiede del regolatore, eventuale scavo su marciapiede di 9-10 metri</t>
  </si>
  <si>
    <t xml:space="preserve">273-Cilicia/Piazza Galeria   </t>
  </si>
  <si>
    <t>09047</t>
  </si>
  <si>
    <t>Sensori su palo a sbraccio di via Cilicia dir. P.le Appio e su palo a sbraccio lato sinistro di via Latina, entrambi su stesso marciapiede dove è il regolatore, con 20 metri di scavo su marciapiede per raggiungere il primo ed altri 8 metri circa per raggiungere il secondo</t>
  </si>
  <si>
    <t xml:space="preserve">284-Piazza di Porta Pia </t>
  </si>
  <si>
    <t>03011</t>
  </si>
  <si>
    <t>Ristrutturato da M9</t>
  </si>
  <si>
    <t xml:space="preserve">285-Appia/Alberone    </t>
  </si>
  <si>
    <t>09036</t>
  </si>
  <si>
    <t>Sensori su palo a sbraccio di via Appia dir. Re di Roma e su palina di via Veturia, entrambe vicino al regolatore, stesso marciapiede, con eventuale scavo di circa 4 metri ciascuno</t>
  </si>
  <si>
    <t xml:space="preserve">287-Tuscolana/Arco di Travertino/Porta Furba </t>
  </si>
  <si>
    <t>09005</t>
  </si>
  <si>
    <t>Dichiarato realizzato dal Lotto, con installazione di 4 sensori, da capire dove e da capire se cavidotti agibili - comunque ci sono un palo a sbraccio e due paline, rispettivamente a 4-5 metri il palo a sbraccio, 1 metro una palina e 2-3 metri l'altra, dal regolatore (scavo su marciapiede), e sui quali è possibile mettere i 4 sensori</t>
  </si>
  <si>
    <t xml:space="preserve">289-Tuscolana/Monselice/Gela    </t>
  </si>
  <si>
    <t>09011</t>
  </si>
  <si>
    <t>Configurazione sensori definita con 1 sensore su ciascun palo a sbraccio (se cavidotti agibili) altrimenti possibilità di mettere 3 sensori su palo a sbraccio vicino al regolatore (3-4 metri di scavo su marciapiede) ma il 4 va messo su altro sbraccio (uno dei due per il quale la traversata risulta agibile) - in ultima ipotesi sensore su palina vicina al regolatore (4-5 metri di scavo su marciapiede)</t>
  </si>
  <si>
    <t xml:space="preserve">290-Tuscolana/Nocera Umbra/Furio Camillo  </t>
  </si>
  <si>
    <t>09013</t>
  </si>
  <si>
    <t>Configurazione sensori definita con 1 sensore su ciascun palo a sbraccio/palina di ogni approccio (se cavidotti agibili) altrimenti possibilità di mettere i 4 sensori sulle due paline vicino al regolatore (11-12 metri di scavo su marciapiede per una, 7-8 metri di scavo per l'altra)</t>
  </si>
  <si>
    <t xml:space="preserve">293-Tuscolana/Capannelle    </t>
  </si>
  <si>
    <t>10002</t>
  </si>
  <si>
    <t>Dichiarato realizzato dal Lotto, con installazione di 4 sensori, da capire dove e da capire se cavidotti agibili - comunque ci sono un palo a sbraccio e una palina, ognuno a 2-3 metri dal regolatore (scavo su marciapiede), e sui quali è possibile mettere i 4 sensori - ideale sarebbe che almeno la traversata della Tuscolana dal regolatore sia libera per mettere il 4 sensore più al centro possibile</t>
  </si>
  <si>
    <t xml:space="preserve">294-Tuscolana/Pulvillo/Labieno    </t>
  </si>
  <si>
    <t>10026</t>
  </si>
  <si>
    <r>
      <t xml:space="preserve">Ristrutturato da M9 </t>
    </r>
    <r>
      <rPr>
        <sz val="10"/>
        <color theme="1"/>
        <rFont val="Helvetica"/>
        <family val="2"/>
      </rPr>
      <t>- Dichiarato realizzato dal Lotto con installazione di 4 sensori - da inviare configurazione effettiva</t>
    </r>
  </si>
  <si>
    <t xml:space="preserve">295-Tuscolana/Giulio Agricola   </t>
  </si>
  <si>
    <t>10006</t>
  </si>
  <si>
    <t>Dichiarato realizzato dal Lotto, con installazione di 4 sensori, da capire dove e da capire se cavidotti agibili - comunque ci sono due paline, ognuna a 3-4 metri dal regolatore (scavo su marciapiede), e sulle quali è possibile mettere i 4 sensori - ideale sarebbe che qualche traversata sia libera per permettere installazione sensori in punti più adeguati</t>
  </si>
  <si>
    <t xml:space="preserve">242-Appia Pignatelli/S.Tarcisio   </t>
  </si>
  <si>
    <t>10054</t>
  </si>
  <si>
    <t>Sensori su palo a sbraccio di via S.Tarcisio vicino al regolatore, stesso marciapiede, con eventuale scavo di circa 2-3 metri</t>
  </si>
  <si>
    <t>443-Appia Pignatelli/Erode Attico</t>
  </si>
  <si>
    <t>10007</t>
  </si>
  <si>
    <t>Sensori su palo a sbraccio di via Appia Pignatelli dir. Capannelle e sulla palina vicino al regolatore, stesso marciapiede/isola, con eventuale scavo (su marciapiede) di circa 6-7 metri per il palo a sbraccio e 1 metro per la palina - ideale sarebbe che sia libera la traversata da regolatore a palo a sbraccio di via Erode Attico</t>
  </si>
  <si>
    <t>456-Piazza Porta Maggiore</t>
  </si>
  <si>
    <t>Ristrutturato in VISICS 2 - 2 sensori su palo a sbraccio di piazza di Porta Maggiore vicino al regolatore, stesso marciapiede, con eventuale scavo (su marciapiede) di circa 3-4 metri e 3 sensore su palo a sbraccio lato opposto del regolatore sulla piazza, se è libera la traversata da regolatore a palo a sbraccio altrimenti si mette sul primo palo a sbraccio</t>
  </si>
  <si>
    <t>457-Piazzale Labicano</t>
  </si>
  <si>
    <t>Ristrutturato in VISICS 2 - Sensori su paline approccio piazzale Labicano ed eventualmente su palo a sbraccio della Prenestina ma nel caso non dovessero essere cavidotti agibili, tutti i sensori possono essere messi sulle paline vicino al regolatore (vicine linee aeree tram e treno), stesso marciapiede, con eventuale scavo (su marciapiede) di circa 1-2 metri per ciascuna palina</t>
  </si>
  <si>
    <t>458-Prenestina/Portonaccio</t>
  </si>
  <si>
    <t>Ristrutturato di recente - sensori messi su pali a sbraccio diversi</t>
  </si>
  <si>
    <t>459-Prenestina/Tor de Schiavi</t>
  </si>
  <si>
    <t>Sensori su palo a sbraccio di via Tor de Schiavi dir. Serenissima, da info di Adriano la traversata da regolatore a palo è libera</t>
  </si>
  <si>
    <t xml:space="preserve">182-Togliatti/Prenestina    </t>
  </si>
  <si>
    <t>07005</t>
  </si>
  <si>
    <t>Sensori su palo a sbraccio vicino al regolatore (1 metro eventuale di scavo su marciapiede) - ideale sarebbe che qualche traversata sia libera</t>
  </si>
  <si>
    <t xml:space="preserve">205-Piazza Tuscolo   </t>
  </si>
  <si>
    <t>09043</t>
  </si>
  <si>
    <t>Sensori su palo a sbraccio su square centrale vicino al regolatore (eventuale scavo di 2 metri su marciapiede)</t>
  </si>
  <si>
    <t xml:space="preserve">136-Piazzale Flaminio/G.B. Vico  </t>
  </si>
  <si>
    <t>02198</t>
  </si>
  <si>
    <t>Sensori su paline di via G.B.Vico vicino al regolatore, con eventuali scavi di rispettivamente 1metro e 7-8 metri</t>
  </si>
  <si>
    <t xml:space="preserve">225-Sette Chiese/Bompiani   </t>
  </si>
  <si>
    <t>11059</t>
  </si>
  <si>
    <t>Sensori su palo a sbraccio vicino al regolatore (2 metri eventuali di scavo su marciapiede)</t>
  </si>
  <si>
    <t xml:space="preserve">195-Tor de Schiavi/Anagni/Delpino  </t>
  </si>
  <si>
    <t>06018</t>
  </si>
  <si>
    <t>Sensori su palo a sbraccio vicino al regolatore (1 metro eventualio di scavo su marciapiede)</t>
  </si>
  <si>
    <t>460-Piazza Gondar</t>
  </si>
  <si>
    <t>Sensori su palo a sbraccio di viale Libia (traversata da regolatore dovrebbe essere libera) e su paline sullo spartitraffico centrale di viale Libia vicino al regolatore (3-4 metri eventuali di scavo su marciapiede per ciascuna palina)</t>
  </si>
  <si>
    <t>461-Corso Trieste/Chiana</t>
  </si>
  <si>
    <t>Sensori su palo a sbraccio di via Chiana attaccato al regolatore</t>
  </si>
  <si>
    <t>RADAR RISPETTO TABELLA ORIGINARIA</t>
  </si>
  <si>
    <t>Le Nuove sostuiscono postazioni originarie</t>
  </si>
  <si>
    <t>daINVIARE</t>
  </si>
  <si>
    <t>Lotto</t>
  </si>
  <si>
    <t>M9.1</t>
  </si>
  <si>
    <t>M9.2</t>
  </si>
  <si>
    <t>Disp. Inst. o Cavidotti Bloccati</t>
  </si>
  <si>
    <t>Disp. 
DA 
INST.</t>
  </si>
  <si>
    <t>Soluzione Cavidotti Bloccati</t>
  </si>
  <si>
    <t>BLOCCATI</t>
  </si>
  <si>
    <t>Spostamento radar su paline</t>
  </si>
  <si>
    <t>Spostamento radar su altro IS (Scavi su strada lunghi)</t>
  </si>
  <si>
    <t>Scavo su marciapiede corto</t>
  </si>
  <si>
    <t>Spostamento radar (2/3) su altre paline</t>
  </si>
  <si>
    <t>Spostamento radar (2/4) su altre paline</t>
  </si>
  <si>
    <t>Spostamento radar (3/5) su paline</t>
  </si>
  <si>
    <t>Spostamento radar (1/4) su altro sbraccio</t>
  </si>
  <si>
    <t>Spostamento radar (2/4) su altro sbraccio</t>
  </si>
  <si>
    <t>DA RISTRUTTURARE IIN OFFERTA TECNICA / PROGETTO BLACKPOINTS</t>
  </si>
  <si>
    <t>Spostamento radar non collegati su altro IS (Scavi su strada lunghi)</t>
  </si>
  <si>
    <t>Spostamento radar (1/3) su altro sbraccio</t>
  </si>
  <si>
    <t>Spostamento radar (1/5) su altro sbraccio</t>
  </si>
  <si>
    <t>?!?!?!?</t>
  </si>
  <si>
    <t>Verificare numero radar, su mappa Lotto1 trovati 3</t>
  </si>
  <si>
    <t>49 Nuove sostuiscono postazioni originarie</t>
  </si>
  <si>
    <t>14 Nuove sono postazioni aggiuntive</t>
  </si>
  <si>
    <r>
      <t xml:space="preserve">Spostamento radar (3/5) su altro sbraccio o paline </t>
    </r>
    <r>
      <rPr>
        <b/>
        <sz val="10"/>
        <color rgb="FFFF0000"/>
        <rFont val="Arial"/>
        <family val="2"/>
      </rPr>
      <t>o su altro IS</t>
    </r>
  </si>
  <si>
    <t>TOTALI (INSTALLAZIONI FATTE)</t>
  </si>
  <si>
    <t xml:space="preserve">IS con Cavidotti bloccati </t>
  </si>
  <si>
    <t>CAMBIAMENTO IS</t>
  </si>
  <si>
    <t>SCAVI</t>
  </si>
  <si>
    <t>SPOSTAMENTO RADAR</t>
  </si>
  <si>
    <t>DA VALUTARE</t>
  </si>
  <si>
    <t>DA VRF</t>
  </si>
  <si>
    <t>VRF
DATI
su UTC
su DL</t>
  </si>
  <si>
    <t>VRF UTC</t>
  </si>
  <si>
    <t>Tabella
per 
IF UTC</t>
  </si>
  <si>
    <t>daCOMPL</t>
  </si>
  <si>
    <t>ass.Mauro</t>
  </si>
  <si>
    <t>Centralizzato</t>
  </si>
  <si>
    <t>Inviati file configurazione a Semaforica</t>
  </si>
  <si>
    <t>da CENTR. con Sistema?
Da installare AUT ?</t>
  </si>
  <si>
    <t>AUT</t>
  </si>
  <si>
    <t>AUT da install.</t>
  </si>
  <si>
    <t>Ass.FM/MC</t>
  </si>
  <si>
    <t>VERIFICARE SE RADAR COLLEGATI DOPO RISTRUTT.</t>
  </si>
  <si>
    <t>VERIFICA CON LOTTO1 QUALI COLLEGATI</t>
  </si>
  <si>
    <t>RadarINST</t>
  </si>
  <si>
    <t>Invio_12/25</t>
  </si>
  <si>
    <t>Inv.SWARCO</t>
  </si>
  <si>
    <t>Regina Elena - P.Le San Lorenzo cod. imp. 03019</t>
  </si>
  <si>
    <t>Tiburtina - V.Lo Verano cod. imp. 03027</t>
  </si>
  <si>
    <t>Regina Elena - Università cod. imp. 03015</t>
  </si>
  <si>
    <t>Regina Margherita - Morgagni cod. imp. 03017</t>
  </si>
  <si>
    <t>Piazza Primoli cod. imp. 04031</t>
  </si>
  <si>
    <t>Nomentana-Graf-Kant cod. imp. 04027</t>
  </si>
  <si>
    <t>Belle Arti-Ponte Risorgimento cod. imp. 02009</t>
  </si>
  <si>
    <t>Piazza Gentile Da Fabriano cod. imp. 02077</t>
  </si>
  <si>
    <t>Salaria - Panama cod. imp. 02057</t>
  </si>
  <si>
    <t>Ardeatina - Fotografia cod. imp. 11092</t>
  </si>
  <si>
    <t>Ponte Duca D'aosta - Piazza Mancini cod. imp. 02064</t>
  </si>
  <si>
    <t>Casilina - Torre Spaccata cod. imp. 08009</t>
  </si>
  <si>
    <t>Lgt Delle Navi - Ponte Matteotti cod. imp. 02019</t>
  </si>
  <si>
    <t>Regina Margherita - Salaria cod. imp. 02052</t>
  </si>
  <si>
    <t>Salaria - Somalia cod. imp. 02045</t>
  </si>
  <si>
    <t>Salaria - Priscilla cod. imp. 02044</t>
  </si>
  <si>
    <t>Piazza Ungheria cod. imp. 02059</t>
  </si>
  <si>
    <t>Parioli - Boccioni cod. imp. 02027</t>
  </si>
  <si>
    <t>Rossini - Paisiello cod. imp. 02033</t>
  </si>
  <si>
    <t>Piazza Pitagora cod. imp. 02031</t>
  </si>
  <si>
    <t>Regina Margherita/Nomentana    cod. imp. 03008</t>
  </si>
  <si>
    <t>Nomentana/Xxi Aprile    cod. imp. 03007</t>
  </si>
  <si>
    <t>Tiburtina/Portonaccio     cod. imp. 05002</t>
  </si>
  <si>
    <t>Monti Tiburtini/Lanciani    cod. imp. 03033</t>
  </si>
  <si>
    <t>Nomentana/Gorizia/Nibby     cod. imp. 03005</t>
  </si>
  <si>
    <t>Nomentana/Trieste/Spallanzani     cod. imp. 03009</t>
  </si>
  <si>
    <t>Nomentana/S.Angela Merici    cod. imp. 02023</t>
  </si>
  <si>
    <t>Nomentana/Val D'aosta    cod. imp. 04021</t>
  </si>
  <si>
    <t>Nomentana/Sempione     cod. imp. 04003</t>
  </si>
  <si>
    <t>Monti Tiburtini/Durantini    cod. imp. 05006</t>
  </si>
  <si>
    <t>Tiburtina/Ottoboni     cod. imp. 05012</t>
  </si>
  <si>
    <t>Tiburtina/Casal Bruciato    cod. imp. 05004</t>
  </si>
  <si>
    <t>Tiburtina/Galla Placidia/Durantini    cod. imp. 05003</t>
  </si>
  <si>
    <t>Tiburtina/Monti Tiburtini Dir. Rebibbia  cod. imp. 05070</t>
  </si>
  <si>
    <t>Tiburtina/Monti Tiburtini Dir. Portonaccio  cod. imp. 05009</t>
  </si>
  <si>
    <t>Tiburtina/S.M. Soccorso    cod. imp. 05010</t>
  </si>
  <si>
    <t>Spezia/Caltagirone     cod. imp. 09028</t>
  </si>
  <si>
    <t>Tuscolana/Arco Di Travertino/Porta Furba  cod. imp. 09005</t>
  </si>
  <si>
    <t>Tuscolana/Pulvillo/Labieno     cod. imp. 10026</t>
  </si>
  <si>
    <t>Tuscolana/Giulio Agricola    cod. imp. 10006</t>
  </si>
  <si>
    <t>Tuscolana/Lucio Sestio    cod. imp. 10008</t>
  </si>
  <si>
    <t>Tuscolana/Quadraro     cod. imp. 10013</t>
  </si>
  <si>
    <t>Tuscolana/Buon Consiglio    cod. imp. 10010</t>
  </si>
  <si>
    <t>Tuscolana/Metro Porta Furba/Fulvi   cod. imp. 10012</t>
  </si>
  <si>
    <t>Appia/Capannellle     cod. imp. 10019</t>
  </si>
  <si>
    <t>Appia Nuova/Quarto Miglio   cod. imp. 10014</t>
  </si>
  <si>
    <t>Appia Nuova/Quadraro    cod. imp. 10017</t>
  </si>
  <si>
    <t>Nomentana/Villini cod. imp. 03097</t>
  </si>
  <si>
    <t>Val Di Cogne/Val Di Lanzo cod. imp. 04123</t>
  </si>
  <si>
    <t>Piazza Capri cod. imp. 04006</t>
  </si>
  <si>
    <t>M.Llo Pilsudski/S.Valentino cod. imp. 02079</t>
  </si>
  <si>
    <t>Nomentana/Val D'ossola cod. imp. 04140</t>
  </si>
  <si>
    <t>Monti Tiburtini/Feronia cod. imp. 05106</t>
  </si>
  <si>
    <t>Tuscolana/Cave     cod. imp. 09014</t>
  </si>
  <si>
    <t>Appia Arco Di Travertini cod. imp. 09001</t>
  </si>
  <si>
    <t>Tuscolana - Capanelle cod. imp. 10002</t>
  </si>
  <si>
    <t>04124</t>
  </si>
  <si>
    <t>Tirreno - Valle Scirvia cod. imp. 04124</t>
  </si>
  <si>
    <t>02011</t>
  </si>
  <si>
    <t>Piazza Fiume cod. imp. 02011</t>
  </si>
  <si>
    <t>02028</t>
  </si>
  <si>
    <t>Pinciana - Puccini cod. imp. 02028</t>
  </si>
  <si>
    <t>02029</t>
  </si>
  <si>
    <t>Pinciana - Allegri cod. imp. 02029</t>
  </si>
  <si>
    <t>02066</t>
  </si>
  <si>
    <t>Corso D'italia Po cod. imp. 02066</t>
  </si>
  <si>
    <t>02083</t>
  </si>
  <si>
    <t>Corso D'italia Puccini cod. imp. 02083</t>
  </si>
  <si>
    <t>04020</t>
  </si>
  <si>
    <t>Salaria Urbe cod. imp. 04020</t>
  </si>
  <si>
    <t>06061</t>
  </si>
  <si>
    <t>Portonacio Silvio Latino cod. imp. 06061</t>
  </si>
  <si>
    <t>07057</t>
  </si>
  <si>
    <t>Prenestina Centro Servizi cod. imp. 07057</t>
  </si>
  <si>
    <t>07060</t>
  </si>
  <si>
    <t>Togliatti - Centro Servizi cod. imp. 07060</t>
  </si>
  <si>
    <t>09081</t>
  </si>
  <si>
    <t>Arco Di Travertino Carroceto cod. imp. 09081</t>
  </si>
  <si>
    <t>10099</t>
  </si>
  <si>
    <t>Tuscolana - Occorsio cod. imp. 10099</t>
  </si>
  <si>
    <t>Taranto Monza Aosta cod. imp. 09006</t>
  </si>
  <si>
    <t>Appia Nuova Appia Pignatelli cod. imp. 10022</t>
  </si>
  <si>
    <t>Ostiense Spizzichino cod. imp. 11037</t>
  </si>
  <si>
    <t>Ostiense Porto Fluviale  cod. imp. 11014</t>
  </si>
  <si>
    <t>Ostiense San Paolo cod. imp. 11015</t>
  </si>
  <si>
    <t>Jonio - Col Di Rezia cod. imp. 04014</t>
  </si>
  <si>
    <t>Casilina - Pignato cod. imp. 06020</t>
  </si>
  <si>
    <t>Spezia/Nola/Monza     cod. imp. 09024</t>
  </si>
  <si>
    <t>Grotta Perfetta/Ambrosini    cod. imp. 11021</t>
  </si>
  <si>
    <t>Grotta Perfetta/Calderon De La Barca cod. imp. 11049</t>
  </si>
  <si>
    <t>Cilicia/Piazza Galeria    cod. imp. 09047</t>
  </si>
  <si>
    <t>Piazza Di Porta Pia  cod. imp. 03011</t>
  </si>
  <si>
    <t>Appia/Alberone     cod. imp. 09036</t>
  </si>
  <si>
    <t>Tuscolana/Monselice/Gela     cod. imp. 09011</t>
  </si>
  <si>
    <t>Tuscolana/Nocera Umbra/Furio Camillo   cod. imp. 09013</t>
  </si>
  <si>
    <t>Appia Pignatelli/S.Tarcisio    cod. imp. 10054</t>
  </si>
  <si>
    <t>Appia Pignatelli/Erode Attico cod. imp. 10007</t>
  </si>
  <si>
    <t>Piazza Porta Maggiore cod. imp. 01117</t>
  </si>
  <si>
    <t>Piazzale Labicano cod. imp. 09004</t>
  </si>
  <si>
    <t>Prenestina/Portonaccio cod. imp. 06008</t>
  </si>
  <si>
    <t>Prenestina/Tor De Schiavi cod. imp. 06019</t>
  </si>
  <si>
    <t>Togliatti/Prenestina     cod. imp. 07005</t>
  </si>
  <si>
    <t>Piazza Tuscolo    cod. imp. 09043</t>
  </si>
  <si>
    <t>Piazzale Flaminio/G.B. Vico   cod. imp. 02198</t>
  </si>
  <si>
    <t>Sette Chiese/Bompiani    cod. imp. 11059</t>
  </si>
  <si>
    <t>Tor De Schiavi/Anagni/Delpino   cod. imp. 06018</t>
  </si>
  <si>
    <t>Piazza Gondar cod. imp. 02016</t>
  </si>
  <si>
    <t>Corso Trieste/Chiana cod. imp. 02074</t>
  </si>
  <si>
    <t>daNTS</t>
  </si>
  <si>
    <t>Nome</t>
  </si>
  <si>
    <t>Postazione</t>
  </si>
  <si>
    <t>Codice IS</t>
  </si>
  <si>
    <t>daEDI</t>
  </si>
  <si>
    <t>Gregorio VII/Villa Carpegna</t>
  </si>
  <si>
    <t>P.le Clodio Est</t>
  </si>
  <si>
    <t>P.le Clodio Ovest</t>
  </si>
  <si>
    <t>Bravetta/Feltreschi</t>
  </si>
  <si>
    <t xml:space="preserve">P.zza Villa Carpegna/Madonna del Riposo </t>
  </si>
  <si>
    <t>Boccea/Battistini       </t>
  </si>
  <si>
    <t>Boccea/Torrevecchia</t>
  </si>
  <si>
    <t xml:space="preserve">Piazza di porta Portese </t>
  </si>
  <si>
    <t>L.re Sangallo/Ponte PASA</t>
  </si>
  <si>
    <t xml:space="preserve">Greca/Bocca della Verità </t>
  </si>
  <si>
    <t>Ponte Duca d'Aosta - Stadio</t>
  </si>
  <si>
    <t>Corso Francia - Flaminia</t>
  </si>
  <si>
    <t xml:space="preserve">C.so Francia/Vigna Stelluti  </t>
  </si>
  <si>
    <t xml:space="preserve">Cassia Nuova/Fabbroni/Pareto   </t>
  </si>
  <si>
    <t xml:space="preserve">Flaminia Nuova/Valdagno   </t>
  </si>
  <si>
    <t>P.le Maresciallo Giardino/L.re della Vittoria</t>
  </si>
  <si>
    <t>Cassia/Grottarossa</t>
  </si>
  <si>
    <t xml:space="preserve">Laurentina/Ardigò    </t>
  </si>
  <si>
    <t xml:space="preserve">Laurentina/Silone    </t>
  </si>
  <si>
    <t xml:space="preserve">Laurentina/Acqua Acetosa Ostiense  </t>
  </si>
  <si>
    <t xml:space="preserve">Laurentina/Tor Pagnotta   </t>
  </si>
  <si>
    <t xml:space="preserve">Colombo/Laurentina    </t>
  </si>
  <si>
    <t xml:space="preserve">Colombo/Europa    </t>
  </si>
  <si>
    <t xml:space="preserve">Colombo/Umanesimo dir. GRA  </t>
  </si>
  <si>
    <t xml:space="preserve">Colombo/Umanesimo dir. Centro  </t>
  </si>
  <si>
    <t xml:space="preserve">Colombo/Oceani    </t>
  </si>
  <si>
    <t>Pio XI/Anastasio II/Leone XIII</t>
  </si>
  <si>
    <t xml:space="preserve">Pio XI/Gregorio VII  </t>
  </si>
  <si>
    <t>Via Gregorio VII - Monte del Gallo</t>
  </si>
  <si>
    <t>Via Anastasio II - Pio XI</t>
  </si>
  <si>
    <t>Anastasio II - Via Savorelli</t>
  </si>
  <si>
    <t>Largo Porta Cavalleggeri</t>
  </si>
  <si>
    <t>Piazzale della Rovere</t>
  </si>
  <si>
    <t xml:space="preserve">L.re Fiorentini/Ponte V.E. II </t>
  </si>
  <si>
    <t xml:space="preserve">Ponte Umberto I/Zanardelli  </t>
  </si>
  <si>
    <t>Ponte Regina Margherita/L.re in Augusta</t>
  </si>
  <si>
    <t xml:space="preserve">Ponte Umberto I/P.zza Tribunali </t>
  </si>
  <si>
    <t xml:space="preserve">Piazza Adriana/Crescenzio   </t>
  </si>
  <si>
    <t xml:space="preserve">L.re in Sassia/Ponte V.E.II </t>
  </si>
  <si>
    <t>17047</t>
  </si>
  <si>
    <t>Cipro - Ammiragli</t>
  </si>
  <si>
    <t>18098</t>
  </si>
  <si>
    <t>Anastasio II - Centro comm.</t>
  </si>
  <si>
    <t>18099</t>
  </si>
  <si>
    <t>Emo - Bus</t>
  </si>
  <si>
    <t>19077</t>
  </si>
  <si>
    <t>Trionfale - Università Sacro Cuore</t>
  </si>
  <si>
    <t xml:space="preserve">Marconi/Bortolotti    </t>
  </si>
  <si>
    <t xml:space="preserve">Marconi/Temistocle Calzecchi Onesti  </t>
  </si>
  <si>
    <t xml:space="preserve">Marconi/L.re Pietrapapa   </t>
  </si>
  <si>
    <t xml:space="preserve">Piazzale della Radio  </t>
  </si>
  <si>
    <t xml:space="preserve">Marconi/Edison    </t>
  </si>
  <si>
    <t xml:space="preserve">Marconi/Grimaldi    </t>
  </si>
  <si>
    <t>L.Re Cadorna - Morra di Lavriano</t>
  </si>
  <si>
    <t>L.RE Diaz - Largo Mllo Diaz</t>
  </si>
  <si>
    <t>l.Re della Vittoria - Timavo</t>
  </si>
  <si>
    <t xml:space="preserve">Pineta Sacchetti/Forte Braschi  </t>
  </si>
  <si>
    <t xml:space="preserve">Pineta Sacchetti/Pascucci   </t>
  </si>
  <si>
    <t xml:space="preserve">Largo Don Guanella  </t>
  </si>
  <si>
    <t xml:space="preserve">Bravetta/Silvestri/Consolata    </t>
  </si>
  <si>
    <t xml:space="preserve">Piazza di Porta Capena </t>
  </si>
  <si>
    <t>Cadorna - Morra di Lavriano</t>
  </si>
  <si>
    <t xml:space="preserve">Colli Portuensi/Gianicolense   </t>
  </si>
  <si>
    <t xml:space="preserve">Piazzale Biondo   </t>
  </si>
  <si>
    <t xml:space="preserve">Gianicolense/Dunant    </t>
  </si>
  <si>
    <t xml:space="preserve">Gianicolense/Monteverde    </t>
  </si>
  <si>
    <t xml:space="preserve">Marconi/Metro    </t>
  </si>
  <si>
    <t xml:space="preserve">S.Giovanni Laterano/Merulana   </t>
  </si>
  <si>
    <t>01023</t>
  </si>
  <si>
    <t>Via Cernaia - Via Goito</t>
  </si>
  <si>
    <t>01024</t>
  </si>
  <si>
    <t>Via Cernaia - Via Volturno</t>
  </si>
  <si>
    <t>01104</t>
  </si>
  <si>
    <t>Largo Brancaccio</t>
  </si>
  <si>
    <t>01218</t>
  </si>
  <si>
    <t>Via Merulana - Via Macchiavelli</t>
  </si>
  <si>
    <t xml:space="preserve">Pineta Sacchetti/San Cleto Papa  </t>
  </si>
  <si>
    <t>Pineta Sacchetti/Montiglio/Marconi</t>
  </si>
  <si>
    <t xml:space="preserve">Pineta Sacchetti/Calasenziane </t>
  </si>
  <si>
    <t>Pineta Sacchetti/Forte Braschi</t>
  </si>
  <si>
    <t>Pineta Sacchetti/Monti di Primavalle</t>
  </si>
  <si>
    <t>Ramazzini/Folchi</t>
  </si>
  <si>
    <t>Ramazzini/Valtellina</t>
  </si>
  <si>
    <t>Largo Vittime del Terrorismo/Caracalla</t>
  </si>
  <si>
    <t>Porta Metronia</t>
  </si>
  <si>
    <t>Colombo/Navigatori</t>
  </si>
  <si>
    <t>Via Cristoforo Colombo - Via Druso</t>
  </si>
  <si>
    <t xml:space="preserve">Cassia/Flaminia/C.so Francia   </t>
  </si>
  <si>
    <t xml:space="preserve">Laurentina/Vigna Murata   </t>
  </si>
  <si>
    <t xml:space="preserve">Laurentina/Serafico    </t>
  </si>
  <si>
    <t xml:space="preserve">Laurentina/Umanesimo    </t>
  </si>
  <si>
    <t xml:space="preserve">Colombo/Agiati    </t>
  </si>
  <si>
    <t xml:space="preserve">Colombo/Leonori    </t>
  </si>
  <si>
    <t xml:space="preserve">Colombo/Porta Ardeatina   </t>
  </si>
  <si>
    <t xml:space="preserve">Colombo/Genocchi    </t>
  </si>
  <si>
    <t xml:space="preserve">Colombo/CiviltÃ  del Lavoro  </t>
  </si>
  <si>
    <t xml:space="preserve">Pineta Sacchetti/Tardini   </t>
  </si>
  <si>
    <t xml:space="preserve">Boccea/Cornelia/Giureconsulti    </t>
  </si>
  <si>
    <t xml:space="preserve">Aurelia/Cornelia/Irnerio    </t>
  </si>
  <si>
    <t>256-Portuense/Folchi</t>
  </si>
  <si>
    <t>Portuense/Ramazzini</t>
  </si>
  <si>
    <t>15071</t>
  </si>
  <si>
    <t>Portruense - Vigna Pia</t>
  </si>
  <si>
    <t>15080</t>
  </si>
  <si>
    <t>Portuense - Imbrecciato</t>
  </si>
  <si>
    <t>15076</t>
  </si>
  <si>
    <t>Portuense - Belluzzo</t>
  </si>
  <si>
    <t xml:space="preserve">Ponte Milvio/Tor di Quinto </t>
  </si>
  <si>
    <t>17007</t>
  </si>
  <si>
    <t>Piazzale degli Eroi</t>
  </si>
  <si>
    <t>01058</t>
  </si>
  <si>
    <t>Piazza Santa croce in Gerusalemme</t>
  </si>
  <si>
    <t>01059</t>
  </si>
  <si>
    <t xml:space="preserve">P.le Appio   </t>
  </si>
  <si>
    <t xml:space="preserve">Porta S.Giovanni/E.Filiberto   </t>
  </si>
  <si>
    <t xml:space="preserve">Trastevere/Induno    </t>
  </si>
  <si>
    <t xml:space="preserve">Trastevere/Glorioso    </t>
  </si>
  <si>
    <t>Trionfale/Barellai</t>
  </si>
  <si>
    <t xml:space="preserve">Boccea/Gregorio XIII   </t>
  </si>
  <si>
    <t>01093</t>
  </si>
  <si>
    <t>Piazza Indipendenza - San Martino della Battaglia</t>
  </si>
  <si>
    <t>01144</t>
  </si>
  <si>
    <t>Manzoni - Conte verde</t>
  </si>
  <si>
    <t xml:space="preserve">Colli Portuensi/Morelli   </t>
  </si>
  <si>
    <t xml:space="preserve">Colli Portuensi/Monteverde   </t>
  </si>
  <si>
    <t xml:space="preserve">Casetta Mattei/Poggio Verde  </t>
  </si>
  <si>
    <t>01044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</si>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</sst>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6" x14ac:knownFonts="1">
    <font>
      <sz val="11"/>
      <color theme="1"/>
      <name val="Calibri"/>
      <family val="2"/>
      <scheme val="minor"/>
    </font>
    <font>
      <b/>
      <sz val="10"/>
      <color rgb="FF0000FF"/>
      <name val="Helvetica"/>
      <family val="2"/>
    </font>
    <font>
      <b/>
      <sz val="10"/>
      <color rgb="FFC00000"/>
      <name val="Helvetica"/>
      <family val="2"/>
    </font>
    <font>
      <b/>
      <sz val="10"/>
      <color theme="1"/>
      <name val="Helvetica"/>
      <family val="2"/>
    </font>
    <font>
      <b/>
      <sz val="10"/>
      <name val="Helvetica"/>
      <family val="2"/>
    </font>
    <font>
      <sz val="10"/>
      <color rgb="FF0000FF"/>
      <name val="Helvetica"/>
      <family val="2"/>
    </font>
    <font>
      <sz val="10"/>
      <color rgb="FFC00000"/>
      <name val="Helvetica"/>
      <family val="2"/>
    </font>
    <font>
      <sz val="10"/>
      <name val="Helvetica"/>
      <family val="2"/>
    </font>
    <font>
      <sz val="10"/>
      <color theme="1"/>
      <name val="Helvetica"/>
      <family val="2"/>
    </font>
    <font>
      <sz val="10"/>
      <name val="Helvetica"/>
      <family val="2"/>
    </font>
    <font>
      <sz val="10"/>
      <color theme="1"/>
      <name val="Helvetica"/>
      <family val="2"/>
    </font>
    <font>
      <i/>
      <sz val="10"/>
      <color rgb="FFC00000"/>
      <name val="Helvetica"/>
      <family val="2"/>
    </font>
    <font>
      <b/>
      <i/>
      <sz val="10"/>
      <color rgb="FFC00000"/>
      <name val="Helvetica"/>
      <family val="2"/>
    </font>
    <font>
      <sz val="11"/>
      <color rgb="FF0000FF"/>
      <name val="Calibri"/>
      <family val="2"/>
      <scheme val="minor"/>
    </font>
    <font>
      <sz val="11"/>
      <color rgb="FFC00000"/>
      <name val="Calibri"/>
      <family val="2"/>
      <scheme val="minor"/>
    </font>
    <font>
      <b/>
      <i/>
      <sz val="10"/>
      <color rgb="FF00B050"/>
      <name val="Helvetica"/>
      <family val="2"/>
    </font>
    <font>
      <sz val="10"/>
      <color theme="1"/>
      <name val="Calibri"/>
      <family val="2"/>
      <scheme val="minor"/>
    </font>
    <font>
      <b/>
      <i/>
      <sz val="10"/>
      <color rgb="FFC00000"/>
      <name val="Helvetica"/>
      <family val="2"/>
    </font>
    <font>
      <b/>
      <sz val="10"/>
      <color rgb="FFFF0000"/>
      <name val="Helvetica"/>
      <family val="2"/>
    </font>
    <font>
      <sz val="8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8"/>
      <name val="Helvetica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B050"/>
      <name val="Helvetica"/>
      <family val="2"/>
    </font>
    <font>
      <sz val="11"/>
      <color theme="1"/>
      <name val="Calibri"/>
      <family val="2"/>
      <scheme val="minor"/>
    </font>
    <font>
      <b/>
      <i/>
      <sz val="10"/>
      <color rgb="FFFF0000"/>
      <name val="Helvetica"/>
      <family val="2"/>
    </font>
    <font>
      <b/>
      <sz val="10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0"/>
      <color rgb="FFC0000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i/>
      <sz val="10"/>
      <color rgb="FF0000FF"/>
      <name val="Helvetica"/>
      <family val="2"/>
    </font>
    <font>
      <sz val="10"/>
      <color rgb="FF0000FF"/>
      <name val="Calibri"/>
      <family val="2"/>
      <scheme val="minor"/>
    </font>
    <font>
      <b/>
      <sz val="10"/>
      <color rgb="FFC00000"/>
      <name val="Helvetica"/>
      <family val="2"/>
    </font>
    <font>
      <b/>
      <sz val="10"/>
      <color rgb="FFFF0000"/>
      <name val="Helvetica"/>
      <family val="2"/>
    </font>
    <font>
      <b/>
      <sz val="10"/>
      <color rgb="FF0000FF"/>
      <name val="Helvetica"/>
      <family val="2"/>
    </font>
    <font>
      <sz val="10"/>
      <color rgb="FF0000FF"/>
      <name val="Helvetica"/>
      <family val="2"/>
    </font>
    <font>
      <sz val="10"/>
      <color rgb="FFFF0000"/>
      <name val="Helvetica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C00000"/>
      <name val="Arial"/>
      <family val="2"/>
    </font>
    <font>
      <sz val="10"/>
      <color rgb="FF00B05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26" fillId="0" borderId="0" applyFont="0" applyFill="0" applyBorder="0" applyAlignment="0" applyProtection="0"/>
  </cellStyleXfs>
  <cellXfs count="197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49" fontId="7" fillId="2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7" fillId="3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0" fillId="4" borderId="0" xfId="0" applyFill="1"/>
    <xf numFmtId="164" fontId="7" fillId="5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left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8" fillId="4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9" fillId="0" borderId="0" xfId="0" applyFont="1"/>
    <xf numFmtId="0" fontId="20" fillId="6" borderId="0" xfId="0" applyFont="1" applyFill="1" applyAlignment="1">
      <alignment horizontal="center" vertical="center" wrapText="1"/>
    </xf>
    <xf numFmtId="0" fontId="21" fillId="0" borderId="0" xfId="0" applyFont="1" applyFill="1" applyBorder="1" applyAlignment="1">
      <alignment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/>
    <xf numFmtId="0" fontId="23" fillId="6" borderId="0" xfId="0" applyFont="1" applyFill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4" fillId="0" borderId="0" xfId="0" applyFont="1" applyFill="1" applyBorder="1" applyAlignment="1"/>
    <xf numFmtId="0" fontId="22" fillId="0" borderId="0" xfId="0" applyFont="1" applyFill="1"/>
    <xf numFmtId="0" fontId="24" fillId="0" borderId="0" xfId="0" applyFont="1" applyFill="1"/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24" fillId="0" borderId="0" xfId="0" applyFont="1" applyAlignment="1">
      <alignment horizontal="left"/>
    </xf>
    <xf numFmtId="0" fontId="1" fillId="9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/>
    </xf>
    <xf numFmtId="49" fontId="7" fillId="5" borderId="3" xfId="0" applyNumberFormat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10" fillId="0" borderId="3" xfId="0" applyFont="1" applyBorder="1" applyAlignment="1">
      <alignment wrapText="1"/>
    </xf>
    <xf numFmtId="0" fontId="12" fillId="6" borderId="0" xfId="0" applyFont="1" applyFill="1" applyAlignment="1">
      <alignment horizontal="left" vertical="center"/>
    </xf>
    <xf numFmtId="164" fontId="7" fillId="5" borderId="3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center"/>
    </xf>
    <xf numFmtId="164" fontId="8" fillId="5" borderId="3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left" vertical="center"/>
    </xf>
    <xf numFmtId="164" fontId="8" fillId="5" borderId="6" xfId="0" applyNumberFormat="1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0" fillId="0" borderId="6" xfId="0" applyBorder="1"/>
    <xf numFmtId="0" fontId="6" fillId="5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left" vertical="center"/>
    </xf>
    <xf numFmtId="164" fontId="8" fillId="5" borderId="0" xfId="0" applyNumberFormat="1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/>
    <xf numFmtId="0" fontId="18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164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left"/>
    </xf>
    <xf numFmtId="0" fontId="0" fillId="0" borderId="0" xfId="0" applyFill="1" applyBorder="1"/>
    <xf numFmtId="0" fontId="27" fillId="0" borderId="0" xfId="0" applyFont="1" applyFill="1" applyAlignment="1">
      <alignment horizontal="left" vertical="center"/>
    </xf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29" fillId="0" borderId="0" xfId="0" applyFont="1" applyFill="1" applyBorder="1" applyAlignment="1"/>
    <xf numFmtId="0" fontId="30" fillId="0" borderId="0" xfId="0" applyFont="1" applyFill="1"/>
    <xf numFmtId="0" fontId="29" fillId="0" borderId="0" xfId="0" applyFont="1" applyFill="1" applyBorder="1" applyAlignment="1">
      <alignment horizontal="left"/>
    </xf>
    <xf numFmtId="0" fontId="31" fillId="0" borderId="1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/>
    </xf>
    <xf numFmtId="0" fontId="32" fillId="0" borderId="0" xfId="0" applyFont="1" applyFill="1" applyBorder="1" applyAlignment="1"/>
    <xf numFmtId="0" fontId="32" fillId="0" borderId="0" xfId="0" applyFont="1" applyFill="1"/>
    <xf numFmtId="0" fontId="32" fillId="0" borderId="0" xfId="0" applyFont="1" applyFill="1" applyBorder="1" applyAlignment="1">
      <alignment horizontal="left"/>
    </xf>
    <xf numFmtId="0" fontId="34" fillId="4" borderId="0" xfId="0" applyFont="1" applyFill="1" applyBorder="1" applyAlignment="1">
      <alignment horizontal="left"/>
    </xf>
    <xf numFmtId="0" fontId="32" fillId="4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left"/>
    </xf>
    <xf numFmtId="0" fontId="32" fillId="0" borderId="0" xfId="0" applyFont="1" applyFill="1" applyBorder="1" applyAlignment="1">
      <alignment horizontal="center" vertical="center" wrapText="1"/>
    </xf>
    <xf numFmtId="0" fontId="32" fillId="0" borderId="0" xfId="0" applyFont="1" applyFill="1" applyBorder="1"/>
    <xf numFmtId="9" fontId="28" fillId="4" borderId="0" xfId="1" applyNumberFormat="1" applyFont="1" applyFill="1" applyBorder="1" applyAlignment="1">
      <alignment horizontal="center" vertical="center"/>
    </xf>
    <xf numFmtId="0" fontId="31" fillId="5" borderId="0" xfId="0" applyFont="1" applyFill="1" applyBorder="1" applyAlignment="1">
      <alignment horizontal="right"/>
    </xf>
    <xf numFmtId="0" fontId="31" fillId="5" borderId="0" xfId="0" applyFont="1" applyFill="1"/>
    <xf numFmtId="0" fontId="1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49" fontId="7" fillId="2" borderId="3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7" fillId="3" borderId="3" xfId="0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/>
    </xf>
    <xf numFmtId="164" fontId="7" fillId="4" borderId="3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164" fontId="7" fillId="2" borderId="3" xfId="0" applyNumberFormat="1" applyFont="1" applyFill="1" applyBorder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35" fillId="0" borderId="0" xfId="0" applyFont="1" applyAlignment="1">
      <alignment horizontal="right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/>
    </xf>
    <xf numFmtId="0" fontId="35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left"/>
    </xf>
    <xf numFmtId="0" fontId="37" fillId="0" borderId="0" xfId="0" applyFont="1" applyAlignment="1">
      <alignment horizontal="center" vertical="center" wrapText="1"/>
    </xf>
    <xf numFmtId="0" fontId="38" fillId="4" borderId="0" xfId="0" applyFont="1" applyFill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40" fillId="0" borderId="0" xfId="0" applyFont="1" applyFill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0" borderId="0" xfId="0" applyFont="1"/>
    <xf numFmtId="0" fontId="40" fillId="8" borderId="0" xfId="0" applyFont="1" applyFill="1" applyAlignment="1">
      <alignment horizontal="center" vertical="center"/>
    </xf>
    <xf numFmtId="0" fontId="40" fillId="4" borderId="0" xfId="0" applyFont="1" applyFill="1" applyAlignment="1">
      <alignment horizontal="center" vertical="center"/>
    </xf>
    <xf numFmtId="0" fontId="38" fillId="8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33" fillId="4" borderId="0" xfId="0" applyFont="1" applyFill="1" applyBorder="1" applyAlignment="1">
      <alignment horizontal="left"/>
    </xf>
    <xf numFmtId="0" fontId="18" fillId="4" borderId="0" xfId="0" applyFont="1" applyFill="1" applyAlignment="1">
      <alignment horizontal="left" vertical="center"/>
    </xf>
    <xf numFmtId="0" fontId="32" fillId="4" borderId="0" xfId="0" applyFont="1" applyFill="1" applyBorder="1" applyAlignment="1">
      <alignment horizontal="left"/>
    </xf>
    <xf numFmtId="0" fontId="7" fillId="10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1" fillId="0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41" fillId="4" borderId="0" xfId="0" applyFont="1" applyFill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49" fontId="32" fillId="0" borderId="0" xfId="0" applyNumberFormat="1" applyFont="1" applyFill="1" applyBorder="1" applyAlignment="1">
      <alignment horizontal="center" vertical="top"/>
    </xf>
    <xf numFmtId="0" fontId="42" fillId="0" borderId="0" xfId="0" applyFont="1" applyFill="1" applyBorder="1" applyAlignment="1">
      <alignment horizontal="center" vertical="center"/>
    </xf>
    <xf numFmtId="0" fontId="43" fillId="0" borderId="0" xfId="0" applyFont="1" applyFill="1" applyBorder="1"/>
    <xf numFmtId="49" fontId="32" fillId="0" borderId="0" xfId="0" applyNumberFormat="1" applyFont="1" applyFill="1" applyBorder="1" applyAlignment="1">
      <alignment horizontal="center" vertical="top"/>
    </xf>
    <xf numFmtId="0" fontId="42" fillId="0" borderId="0" xfId="0" applyFont="1" applyFill="1" applyBorder="1" applyAlignment="1">
      <alignment horizontal="center" vertical="center"/>
    </xf>
    <xf numFmtId="0" fontId="44" fillId="0" borderId="0" xfId="0" applyFont="1" applyFill="1" applyBorder="1" applyAlignment="1">
      <alignment horizontal="center"/>
    </xf>
    <xf numFmtId="0" fontId="45" fillId="0" borderId="0" xfId="0" applyFont="1" applyFill="1" applyBorder="1" applyAlignment="1">
      <alignment horizontal="center" vertical="center"/>
    </xf>
    <xf numFmtId="49" fontId="45" fillId="0" borderId="0" xfId="0" applyNumberFormat="1" applyFont="1" applyFill="1" applyBorder="1" applyAlignment="1">
      <alignment horizontal="center" vertical="center"/>
    </xf>
    <xf numFmtId="49" fontId="45" fillId="0" borderId="0" xfId="0" applyNumberFormat="1" applyFont="1" applyFill="1" applyBorder="1" applyAlignment="1">
      <alignment horizontal="center" vertical="center"/>
    </xf>
    <xf numFmtId="49" fontId="32" fillId="0" borderId="0" xfId="0" applyNumberFormat="1" applyFont="1" applyFill="1" applyBorder="1" applyAlignment="1">
      <alignment vertical="top"/>
    </xf>
    <xf numFmtId="0" fontId="42" fillId="0" borderId="0" xfId="0" applyFont="1" applyFill="1" applyBorder="1" applyAlignment="1">
      <alignment vertical="center"/>
    </xf>
    <xf numFmtId="49" fontId="32" fillId="4" borderId="0" xfId="0" applyNumberFormat="1" applyFont="1" applyFill="1" applyBorder="1" applyAlignment="1">
      <alignment horizontal="center" vertical="top"/>
    </xf>
    <xf numFmtId="2" fontId="45" fillId="0" borderId="0" xfId="0" applyNumberFormat="1" applyFont="1" applyFill="1" applyBorder="1" applyAlignment="1">
      <alignment horizontal="center" vertical="center"/>
    </xf>
    <xf numFmtId="1" fontId="45" fillId="0" borderId="0" xfId="0" applyNumberFormat="1" applyFont="1" applyFill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C4D8A-7C12-469C-A607-D064B934DB73}">
  <sheetPr filterMode="1">
    <pageSetUpPr fitToPage="1"/>
  </sheetPr>
  <dimension ref="A1:Z240"/>
  <sheetViews>
    <sheetView zoomScale="90" zoomScaleNormal="90" workbookViewId="0">
      <selection sqref="A1:XFD1048576"/>
    </sheetView>
  </sheetViews>
  <sheetFormatPr defaultRowHeight="14.4" x14ac:dyDescent="0.3"/>
  <cols>
    <col min="1" max="1" width="6.5546875" style="36" bestFit="1" customWidth="1"/>
    <col min="2" max="2" width="6.5546875" style="36" customWidth="1"/>
    <col min="3" max="3" width="11.6640625" style="37" customWidth="1"/>
    <col min="4" max="4" width="44.88671875" customWidth="1"/>
    <col min="7" max="7" width="11.21875" bestFit="1" customWidth="1"/>
    <col min="8" max="8" width="13.44140625" style="72" customWidth="1"/>
    <col min="9" max="9" width="11.6640625" style="38" bestFit="1" customWidth="1"/>
    <col min="10" max="10" width="10.21875" customWidth="1"/>
    <col min="11" max="11" width="10.44140625" customWidth="1"/>
    <col min="13" max="13" width="10.88671875" style="162" customWidth="1"/>
    <col min="14" max="14" width="20.109375" bestFit="1" customWidth="1"/>
    <col min="16" max="16" width="50.109375" style="69" bestFit="1" customWidth="1"/>
    <col min="17" max="17" width="10.44140625" style="113" bestFit="1" customWidth="1"/>
    <col min="18" max="18" width="8.88671875" style="113"/>
    <col min="19" max="19" width="61.109375" style="115" bestFit="1" customWidth="1"/>
    <col min="20" max="20" width="30.33203125" style="113" bestFit="1" customWidth="1"/>
    <col min="21" max="21" width="4.6640625" style="114" bestFit="1" customWidth="1"/>
    <col min="22" max="25" width="8.88671875" style="64"/>
  </cols>
  <sheetData>
    <row r="1" spans="1:21" ht="52.8" x14ac:dyDescent="0.3">
      <c r="A1" s="1" t="s">
        <v>0</v>
      </c>
      <c r="B1" s="1" t="s">
        <v>466</v>
      </c>
      <c r="C1" s="2" t="s">
        <v>1</v>
      </c>
      <c r="D1" s="3" t="s">
        <v>2</v>
      </c>
      <c r="E1" s="4" t="s">
        <v>3</v>
      </c>
      <c r="F1" s="5" t="s">
        <v>4</v>
      </c>
      <c r="G1" s="5" t="s">
        <v>5</v>
      </c>
      <c r="H1" s="71" t="s">
        <v>504</v>
      </c>
      <c r="I1" s="6" t="s">
        <v>6</v>
      </c>
      <c r="J1" s="7" t="s">
        <v>7</v>
      </c>
      <c r="K1" s="65" t="s">
        <v>252</v>
      </c>
      <c r="L1" s="6" t="s">
        <v>253</v>
      </c>
      <c r="M1" s="159" t="s">
        <v>499</v>
      </c>
      <c r="N1" s="6" t="s">
        <v>254</v>
      </c>
      <c r="O1" s="157" t="s">
        <v>497</v>
      </c>
      <c r="P1" s="66" t="s">
        <v>255</v>
      </c>
      <c r="Q1" s="111" t="s">
        <v>469</v>
      </c>
      <c r="R1" s="111" t="s">
        <v>470</v>
      </c>
      <c r="S1" s="112" t="s">
        <v>471</v>
      </c>
    </row>
    <row r="2" spans="1:21" x14ac:dyDescent="0.3">
      <c r="A2" s="8">
        <v>1</v>
      </c>
      <c r="B2" s="8" t="s">
        <v>467</v>
      </c>
      <c r="C2" s="9" t="s">
        <v>8</v>
      </c>
      <c r="D2" s="10" t="s">
        <v>9</v>
      </c>
      <c r="E2" s="11" t="s">
        <v>10</v>
      </c>
      <c r="F2" s="12" t="s">
        <v>4</v>
      </c>
      <c r="G2" s="12" t="s">
        <v>51</v>
      </c>
      <c r="H2" s="172" t="s">
        <v>505</v>
      </c>
      <c r="I2" s="9" t="s">
        <v>13</v>
      </c>
      <c r="J2" s="12">
        <v>3</v>
      </c>
      <c r="K2" s="8" t="s">
        <v>261</v>
      </c>
      <c r="L2" s="9" t="s">
        <v>258</v>
      </c>
      <c r="M2" s="160"/>
      <c r="N2" s="9" t="s">
        <v>258</v>
      </c>
      <c r="O2" s="9"/>
      <c r="P2" s="10"/>
      <c r="Q2" s="118" t="s">
        <v>472</v>
      </c>
      <c r="R2" s="118">
        <f>J2</f>
        <v>3</v>
      </c>
      <c r="S2" s="119" t="s">
        <v>474</v>
      </c>
    </row>
    <row r="3" spans="1:21" x14ac:dyDescent="0.3">
      <c r="A3" s="8">
        <v>87</v>
      </c>
      <c r="B3" s="8" t="s">
        <v>467</v>
      </c>
      <c r="C3" s="9" t="s">
        <v>8</v>
      </c>
      <c r="D3" s="10" t="s">
        <v>176</v>
      </c>
      <c r="E3" s="11" t="s">
        <v>177</v>
      </c>
      <c r="F3" s="12" t="s">
        <v>4</v>
      </c>
      <c r="G3" s="12" t="s">
        <v>16</v>
      </c>
      <c r="H3" s="20" t="s">
        <v>502</v>
      </c>
      <c r="I3" s="9" t="s">
        <v>13</v>
      </c>
      <c r="J3" s="12">
        <v>2</v>
      </c>
      <c r="K3" s="70" t="s">
        <v>262</v>
      </c>
      <c r="L3" s="9" t="s">
        <v>258</v>
      </c>
      <c r="M3" s="164" t="s">
        <v>500</v>
      </c>
      <c r="N3" s="9" t="s">
        <v>258</v>
      </c>
      <c r="O3" s="9"/>
      <c r="Q3" s="118">
        <f>IF(I3="SI",J3,"")</f>
        <v>2</v>
      </c>
      <c r="R3" s="118" t="str">
        <f>IF(I3="SI","",J3)</f>
        <v/>
      </c>
      <c r="S3" s="122"/>
      <c r="T3" s="120"/>
      <c r="U3" s="126"/>
    </row>
    <row r="4" spans="1:21" x14ac:dyDescent="0.3">
      <c r="A4" s="8">
        <v>2</v>
      </c>
      <c r="B4" s="8" t="s">
        <v>467</v>
      </c>
      <c r="C4" s="9" t="s">
        <v>8</v>
      </c>
      <c r="D4" s="10" t="s">
        <v>14</v>
      </c>
      <c r="E4" s="11" t="s">
        <v>15</v>
      </c>
      <c r="F4" s="12" t="s">
        <v>4</v>
      </c>
      <c r="G4" s="12" t="s">
        <v>16</v>
      </c>
      <c r="H4" s="12"/>
      <c r="I4" s="9" t="s">
        <v>13</v>
      </c>
      <c r="J4" s="12">
        <v>4</v>
      </c>
      <c r="K4" s="68" t="s">
        <v>260</v>
      </c>
      <c r="L4" s="9" t="s">
        <v>258</v>
      </c>
      <c r="M4" s="160"/>
      <c r="N4" s="9" t="s">
        <v>258</v>
      </c>
      <c r="O4" s="9"/>
      <c r="P4" s="10"/>
      <c r="Q4" s="118">
        <f>IF(I4="SI",J4,"")</f>
        <v>4</v>
      </c>
      <c r="R4" s="118" t="str">
        <f>IF(I4="SI","",J4)</f>
        <v/>
      </c>
      <c r="S4" s="122"/>
      <c r="T4" s="129" t="s">
        <v>490</v>
      </c>
      <c r="U4" s="130">
        <v>94</v>
      </c>
    </row>
    <row r="5" spans="1:21" x14ac:dyDescent="0.3">
      <c r="A5" s="8">
        <v>3</v>
      </c>
      <c r="B5" s="8" t="s">
        <v>467</v>
      </c>
      <c r="C5" s="9" t="s">
        <v>8</v>
      </c>
      <c r="D5" s="10" t="s">
        <v>17</v>
      </c>
      <c r="E5" s="11" t="s">
        <v>18</v>
      </c>
      <c r="F5" s="12" t="s">
        <v>4</v>
      </c>
      <c r="G5" s="12" t="s">
        <v>16</v>
      </c>
      <c r="H5" s="12"/>
      <c r="I5" s="9" t="s">
        <v>13</v>
      </c>
      <c r="J5" s="12">
        <v>3</v>
      </c>
      <c r="K5" s="68" t="s">
        <v>260</v>
      </c>
      <c r="L5" s="9" t="s">
        <v>258</v>
      </c>
      <c r="M5" s="160"/>
      <c r="N5" s="9" t="s">
        <v>258</v>
      </c>
      <c r="O5" s="9"/>
      <c r="P5" s="10"/>
      <c r="Q5" s="118" t="s">
        <v>472</v>
      </c>
      <c r="R5" s="118">
        <f>J5</f>
        <v>3</v>
      </c>
      <c r="S5" s="122" t="s">
        <v>475</v>
      </c>
      <c r="T5" s="129" t="s">
        <v>491</v>
      </c>
      <c r="U5" s="130">
        <v>26</v>
      </c>
    </row>
    <row r="6" spans="1:21" x14ac:dyDescent="0.3">
      <c r="A6" s="8">
        <v>5</v>
      </c>
      <c r="B6" s="8" t="s">
        <v>467</v>
      </c>
      <c r="C6" s="9" t="s">
        <v>8</v>
      </c>
      <c r="D6" s="10" t="s">
        <v>21</v>
      </c>
      <c r="E6" s="11" t="s">
        <v>22</v>
      </c>
      <c r="F6" s="12" t="s">
        <v>4</v>
      </c>
      <c r="G6" s="12" t="s">
        <v>16</v>
      </c>
      <c r="H6" s="12"/>
      <c r="I6" s="9" t="s">
        <v>13</v>
      </c>
      <c r="J6" s="12">
        <v>2</v>
      </c>
      <c r="K6" s="68" t="s">
        <v>260</v>
      </c>
      <c r="L6" s="9" t="s">
        <v>258</v>
      </c>
      <c r="M6" s="160"/>
      <c r="N6" s="9" t="s">
        <v>258</v>
      </c>
      <c r="O6" s="9"/>
      <c r="P6" s="10"/>
      <c r="Q6" s="118">
        <f>IF(I6="SI",J6,"")</f>
        <v>2</v>
      </c>
      <c r="R6" s="118" t="str">
        <f>IF(I6="SI","",J6)</f>
        <v/>
      </c>
      <c r="S6" s="122"/>
      <c r="T6" s="129" t="s">
        <v>493</v>
      </c>
      <c r="U6" s="130">
        <v>2</v>
      </c>
    </row>
    <row r="7" spans="1:21" x14ac:dyDescent="0.3">
      <c r="A7" s="8">
        <v>6</v>
      </c>
      <c r="B7" s="8" t="s">
        <v>467</v>
      </c>
      <c r="C7" s="9" t="s">
        <v>8</v>
      </c>
      <c r="D7" s="10" t="s">
        <v>23</v>
      </c>
      <c r="E7" s="11" t="s">
        <v>24</v>
      </c>
      <c r="F7" s="12" t="s">
        <v>4</v>
      </c>
      <c r="G7" s="12" t="s">
        <v>16</v>
      </c>
      <c r="H7" s="20" t="s">
        <v>502</v>
      </c>
      <c r="I7" s="9" t="s">
        <v>13</v>
      </c>
      <c r="J7" s="15">
        <v>3</v>
      </c>
      <c r="K7" s="165" t="s">
        <v>260</v>
      </c>
      <c r="L7" s="9" t="s">
        <v>258</v>
      </c>
      <c r="M7" s="160"/>
      <c r="N7" s="9" t="s">
        <v>258</v>
      </c>
      <c r="O7" s="9"/>
      <c r="P7" s="10"/>
      <c r="Q7" s="118">
        <f>IF(I7="SI",J7,"")</f>
        <v>3</v>
      </c>
      <c r="R7" s="118" t="str">
        <f>IF(I7="SI","",J7)</f>
        <v/>
      </c>
      <c r="S7" s="122"/>
      <c r="T7" s="129" t="s">
        <v>494</v>
      </c>
      <c r="U7" s="130">
        <v>13</v>
      </c>
    </row>
    <row r="8" spans="1:21" x14ac:dyDescent="0.3">
      <c r="A8" s="8">
        <v>7</v>
      </c>
      <c r="B8" s="8" t="s">
        <v>467</v>
      </c>
      <c r="C8" s="9" t="s">
        <v>8</v>
      </c>
      <c r="D8" s="10" t="s">
        <v>25</v>
      </c>
      <c r="E8" s="11" t="s">
        <v>26</v>
      </c>
      <c r="F8" s="12" t="s">
        <v>4</v>
      </c>
      <c r="G8" s="12" t="s">
        <v>16</v>
      </c>
      <c r="H8" s="20" t="s">
        <v>502</v>
      </c>
      <c r="I8" s="9" t="s">
        <v>13</v>
      </c>
      <c r="J8" s="15">
        <v>4</v>
      </c>
      <c r="K8" s="165" t="s">
        <v>260</v>
      </c>
      <c r="L8" s="9" t="s">
        <v>258</v>
      </c>
      <c r="M8" s="160"/>
      <c r="N8" s="9" t="s">
        <v>258</v>
      </c>
      <c r="O8" s="9"/>
      <c r="P8" s="10"/>
      <c r="Q8" s="118">
        <f>IF(I8="SI",J8,"")</f>
        <v>4</v>
      </c>
      <c r="R8" s="118" t="str">
        <f>IF(I8="SI","",J8)</f>
        <v/>
      </c>
      <c r="S8" s="122"/>
      <c r="T8" s="129" t="s">
        <v>495</v>
      </c>
      <c r="U8" s="130">
        <v>3</v>
      </c>
    </row>
    <row r="9" spans="1:21" x14ac:dyDescent="0.3">
      <c r="A9" s="8">
        <v>8</v>
      </c>
      <c r="B9" s="8" t="s">
        <v>467</v>
      </c>
      <c r="C9" s="9" t="s">
        <v>8</v>
      </c>
      <c r="D9" s="10" t="s">
        <v>27</v>
      </c>
      <c r="E9" s="11" t="s">
        <v>28</v>
      </c>
      <c r="F9" s="12" t="s">
        <v>4</v>
      </c>
      <c r="G9" s="12" t="s">
        <v>16</v>
      </c>
      <c r="H9" s="12"/>
      <c r="I9" s="9" t="s">
        <v>13</v>
      </c>
      <c r="J9" s="12">
        <v>3</v>
      </c>
      <c r="K9" s="68" t="s">
        <v>260</v>
      </c>
      <c r="L9" s="9" t="s">
        <v>258</v>
      </c>
      <c r="M9" s="160"/>
      <c r="N9" s="9" t="s">
        <v>258</v>
      </c>
      <c r="O9" s="9"/>
      <c r="P9" s="10"/>
      <c r="Q9" s="118">
        <f>IF(I9="SI",J9,"")</f>
        <v>3</v>
      </c>
      <c r="R9" s="118" t="str">
        <f>IF(I9="SI","",J9)</f>
        <v/>
      </c>
      <c r="S9" s="122"/>
      <c r="T9" s="120"/>
      <c r="U9" s="121"/>
    </row>
    <row r="10" spans="1:21" x14ac:dyDescent="0.3">
      <c r="A10" s="8">
        <v>9</v>
      </c>
      <c r="B10" s="8" t="s">
        <v>467</v>
      </c>
      <c r="C10" s="9" t="s">
        <v>8</v>
      </c>
      <c r="D10" s="10" t="s">
        <v>29</v>
      </c>
      <c r="E10" s="11" t="s">
        <v>30</v>
      </c>
      <c r="F10" s="12" t="s">
        <v>4</v>
      </c>
      <c r="G10" s="12" t="s">
        <v>16</v>
      </c>
      <c r="H10" s="12"/>
      <c r="I10" s="9" t="s">
        <v>13</v>
      </c>
      <c r="J10" s="12">
        <v>3</v>
      </c>
      <c r="K10" s="68" t="s">
        <v>260</v>
      </c>
      <c r="L10" s="9" t="s">
        <v>258</v>
      </c>
      <c r="M10" s="160"/>
      <c r="N10" s="9" t="s">
        <v>258</v>
      </c>
      <c r="O10" s="9"/>
      <c r="P10" s="10"/>
      <c r="Q10" s="118" t="s">
        <v>472</v>
      </c>
      <c r="R10" s="118">
        <f>J10</f>
        <v>3</v>
      </c>
      <c r="S10" s="119" t="s">
        <v>474</v>
      </c>
      <c r="T10" s="120"/>
      <c r="U10" s="121"/>
    </row>
    <row r="11" spans="1:21" x14ac:dyDescent="0.3">
      <c r="A11" s="8">
        <v>10</v>
      </c>
      <c r="B11" s="8" t="s">
        <v>467</v>
      </c>
      <c r="C11" s="9" t="s">
        <v>8</v>
      </c>
      <c r="D11" s="10" t="s">
        <v>31</v>
      </c>
      <c r="E11" s="11" t="s">
        <v>32</v>
      </c>
      <c r="F11" s="12" t="s">
        <v>4</v>
      </c>
      <c r="G11" s="12" t="s">
        <v>16</v>
      </c>
      <c r="H11" s="12"/>
      <c r="I11" s="9" t="s">
        <v>13</v>
      </c>
      <c r="J11" s="12">
        <v>4</v>
      </c>
      <c r="K11" s="68" t="s">
        <v>260</v>
      </c>
      <c r="L11" s="9" t="s">
        <v>258</v>
      </c>
      <c r="M11" s="160"/>
      <c r="N11" s="9" t="s">
        <v>258</v>
      </c>
      <c r="O11" s="9"/>
      <c r="P11" s="10"/>
      <c r="Q11" s="118" t="s">
        <v>472</v>
      </c>
      <c r="R11" s="118">
        <f>J11</f>
        <v>4</v>
      </c>
      <c r="S11" s="119" t="s">
        <v>474</v>
      </c>
      <c r="T11" s="120"/>
      <c r="U11" s="121"/>
    </row>
    <row r="12" spans="1:21" x14ac:dyDescent="0.3">
      <c r="A12" s="8">
        <v>11</v>
      </c>
      <c r="B12" s="8" t="s">
        <v>467</v>
      </c>
      <c r="C12" s="9" t="s">
        <v>8</v>
      </c>
      <c r="D12" s="10" t="s">
        <v>33</v>
      </c>
      <c r="E12" s="11" t="s">
        <v>34</v>
      </c>
      <c r="F12" s="12" t="s">
        <v>4</v>
      </c>
      <c r="G12" s="12" t="s">
        <v>16</v>
      </c>
      <c r="H12" s="12"/>
      <c r="I12" s="9" t="s">
        <v>13</v>
      </c>
      <c r="J12" s="12">
        <v>4</v>
      </c>
      <c r="K12" s="67" t="s">
        <v>256</v>
      </c>
      <c r="L12" s="70" t="s">
        <v>257</v>
      </c>
      <c r="M12" s="67" t="s">
        <v>256</v>
      </c>
      <c r="N12" s="174" t="s">
        <v>512</v>
      </c>
      <c r="P12" s="156"/>
      <c r="Q12" s="118">
        <f>IF(I12="SI",J12,"")</f>
        <v>4</v>
      </c>
      <c r="R12" s="118" t="str">
        <f>IF(I12="SI","",J12)</f>
        <v/>
      </c>
      <c r="S12" s="122"/>
      <c r="T12" s="120"/>
      <c r="U12" s="121"/>
    </row>
    <row r="13" spans="1:21" x14ac:dyDescent="0.3">
      <c r="A13" s="8">
        <v>12</v>
      </c>
      <c r="B13" s="8" t="s">
        <v>467</v>
      </c>
      <c r="C13" s="9" t="s">
        <v>8</v>
      </c>
      <c r="D13" s="10" t="s">
        <v>35</v>
      </c>
      <c r="E13" s="11" t="s">
        <v>36</v>
      </c>
      <c r="F13" s="12" t="s">
        <v>4</v>
      </c>
      <c r="G13" s="12" t="s">
        <v>16</v>
      </c>
      <c r="H13" s="12"/>
      <c r="I13" s="9" t="s">
        <v>13</v>
      </c>
      <c r="J13" s="12">
        <v>4</v>
      </c>
      <c r="K13" s="67" t="s">
        <v>256</v>
      </c>
      <c r="L13" s="70" t="s">
        <v>257</v>
      </c>
      <c r="M13" s="67" t="s">
        <v>256</v>
      </c>
      <c r="N13" s="70" t="s">
        <v>257</v>
      </c>
      <c r="O13" s="158" t="s">
        <v>498</v>
      </c>
      <c r="P13" s="156"/>
      <c r="Q13" s="118">
        <f>IF(I13="SI",J13,"")</f>
        <v>4</v>
      </c>
      <c r="R13" s="118" t="str">
        <f>IF(I13="SI","",J13)</f>
        <v/>
      </c>
      <c r="S13" s="122"/>
      <c r="T13" s="120"/>
      <c r="U13" s="121"/>
    </row>
    <row r="14" spans="1:21" x14ac:dyDescent="0.3">
      <c r="A14" s="8">
        <v>88</v>
      </c>
      <c r="B14" s="8" t="s">
        <v>467</v>
      </c>
      <c r="C14" s="9" t="s">
        <v>8</v>
      </c>
      <c r="D14" s="10" t="s">
        <v>180</v>
      </c>
      <c r="E14" s="11" t="s">
        <v>181</v>
      </c>
      <c r="F14" s="12" t="s">
        <v>4</v>
      </c>
      <c r="G14" s="12" t="s">
        <v>16</v>
      </c>
      <c r="H14" s="20" t="s">
        <v>502</v>
      </c>
      <c r="I14" s="9" t="s">
        <v>13</v>
      </c>
      <c r="J14" s="12">
        <v>2</v>
      </c>
      <c r="K14" s="70" t="s">
        <v>262</v>
      </c>
      <c r="L14" s="9" t="s">
        <v>258</v>
      </c>
      <c r="M14" s="164" t="s">
        <v>500</v>
      </c>
      <c r="N14" s="9" t="s">
        <v>258</v>
      </c>
      <c r="O14" s="9"/>
      <c r="Q14" s="118">
        <f>IF(I14="SI",J14,"")</f>
        <v>2</v>
      </c>
      <c r="R14" s="118" t="str">
        <f>IF(I14="SI","",J14)</f>
        <v/>
      </c>
      <c r="S14" s="122"/>
      <c r="T14" s="120"/>
      <c r="U14" s="126"/>
    </row>
    <row r="15" spans="1:21" x14ac:dyDescent="0.3">
      <c r="A15" s="8">
        <v>13</v>
      </c>
      <c r="B15" s="8" t="s">
        <v>467</v>
      </c>
      <c r="C15" s="9" t="s">
        <v>8</v>
      </c>
      <c r="D15" s="10" t="s">
        <v>37</v>
      </c>
      <c r="E15" s="11" t="s">
        <v>38</v>
      </c>
      <c r="F15" s="12" t="s">
        <v>4</v>
      </c>
      <c r="G15" s="12" t="s">
        <v>16</v>
      </c>
      <c r="H15" s="20" t="s">
        <v>502</v>
      </c>
      <c r="I15" s="9" t="s">
        <v>13</v>
      </c>
      <c r="J15" s="12">
        <v>3</v>
      </c>
      <c r="K15" s="165" t="s">
        <v>260</v>
      </c>
      <c r="L15" s="9" t="s">
        <v>258</v>
      </c>
      <c r="M15" s="160"/>
      <c r="N15" s="9" t="s">
        <v>258</v>
      </c>
      <c r="O15" s="9"/>
      <c r="P15" s="10"/>
      <c r="Q15" s="118">
        <f>IF(I15="SI",J15,"")</f>
        <v>3</v>
      </c>
      <c r="R15" s="118" t="str">
        <f>IF(I15="SI","",J15)</f>
        <v/>
      </c>
      <c r="S15" s="122"/>
      <c r="T15" s="120"/>
      <c r="U15" s="121"/>
    </row>
    <row r="16" spans="1:21" x14ac:dyDescent="0.3">
      <c r="A16" s="8">
        <v>14</v>
      </c>
      <c r="B16" s="8" t="s">
        <v>467</v>
      </c>
      <c r="C16" s="9" t="s">
        <v>8</v>
      </c>
      <c r="D16" s="10" t="s">
        <v>39</v>
      </c>
      <c r="E16" s="11" t="s">
        <v>40</v>
      </c>
      <c r="F16" s="12" t="s">
        <v>4</v>
      </c>
      <c r="G16" s="12" t="s">
        <v>16</v>
      </c>
      <c r="H16" s="20" t="s">
        <v>502</v>
      </c>
      <c r="I16" s="9" t="s">
        <v>13</v>
      </c>
      <c r="J16" s="12">
        <v>4</v>
      </c>
      <c r="K16" s="165" t="s">
        <v>260</v>
      </c>
      <c r="L16" s="9" t="s">
        <v>258</v>
      </c>
      <c r="M16" s="160"/>
      <c r="N16" s="9" t="s">
        <v>258</v>
      </c>
      <c r="O16" s="9"/>
      <c r="P16" s="10"/>
      <c r="Q16" s="118">
        <f>IF(I16="SI",J16,"")</f>
        <v>4</v>
      </c>
      <c r="R16" s="118" t="str">
        <f>IF(I16="SI","",J16)</f>
        <v/>
      </c>
      <c r="S16" s="122"/>
      <c r="T16" s="120"/>
      <c r="U16" s="121"/>
    </row>
    <row r="17" spans="1:26" x14ac:dyDescent="0.3">
      <c r="A17" s="8">
        <v>15</v>
      </c>
      <c r="B17" s="8" t="s">
        <v>467</v>
      </c>
      <c r="C17" s="9" t="s">
        <v>8</v>
      </c>
      <c r="D17" s="10" t="s">
        <v>41</v>
      </c>
      <c r="E17" s="11" t="s">
        <v>42</v>
      </c>
      <c r="F17" s="12" t="s">
        <v>4</v>
      </c>
      <c r="G17" s="12" t="s">
        <v>16</v>
      </c>
      <c r="H17" s="12"/>
      <c r="I17" s="9" t="s">
        <v>13</v>
      </c>
      <c r="J17" s="12">
        <v>4</v>
      </c>
      <c r="K17" s="68" t="s">
        <v>260</v>
      </c>
      <c r="L17" s="9" t="s">
        <v>258</v>
      </c>
      <c r="M17" s="160"/>
      <c r="N17" s="9" t="s">
        <v>258</v>
      </c>
      <c r="O17" s="9"/>
      <c r="P17" s="10"/>
      <c r="Q17" s="118" t="s">
        <v>472</v>
      </c>
      <c r="R17" s="118">
        <f>J17</f>
        <v>4</v>
      </c>
      <c r="S17" s="122" t="s">
        <v>480</v>
      </c>
      <c r="T17" s="120"/>
      <c r="U17" s="121"/>
    </row>
    <row r="18" spans="1:26" x14ac:dyDescent="0.3">
      <c r="A18" s="8">
        <v>16</v>
      </c>
      <c r="B18" s="8" t="s">
        <v>467</v>
      </c>
      <c r="C18" s="9" t="s">
        <v>8</v>
      </c>
      <c r="D18" s="10" t="s">
        <v>43</v>
      </c>
      <c r="E18" s="11" t="s">
        <v>44</v>
      </c>
      <c r="F18" s="12" t="s">
        <v>4</v>
      </c>
      <c r="G18" s="12" t="s">
        <v>16</v>
      </c>
      <c r="H18" s="12"/>
      <c r="I18" s="9" t="s">
        <v>13</v>
      </c>
      <c r="J18" s="12">
        <v>3</v>
      </c>
      <c r="K18" s="68" t="s">
        <v>260</v>
      </c>
      <c r="L18" s="9" t="s">
        <v>258</v>
      </c>
      <c r="M18" s="160"/>
      <c r="N18" s="9" t="s">
        <v>258</v>
      </c>
      <c r="O18" s="9"/>
      <c r="P18" s="10"/>
      <c r="Q18" s="118">
        <f>IF(I18="SI",J18,"")</f>
        <v>3</v>
      </c>
      <c r="R18" s="118" t="str">
        <f>IF(I18="SI","",J18)</f>
        <v/>
      </c>
      <c r="S18" s="122"/>
      <c r="T18" s="120"/>
      <c r="U18" s="121"/>
    </row>
    <row r="19" spans="1:26" x14ac:dyDescent="0.3">
      <c r="A19" s="8">
        <v>17</v>
      </c>
      <c r="B19" s="8" t="s">
        <v>467</v>
      </c>
      <c r="C19" s="9" t="s">
        <v>8</v>
      </c>
      <c r="D19" s="10" t="s">
        <v>45</v>
      </c>
      <c r="E19" s="11" t="s">
        <v>46</v>
      </c>
      <c r="F19" s="12" t="s">
        <v>4</v>
      </c>
      <c r="G19" s="12" t="s">
        <v>16</v>
      </c>
      <c r="H19" s="12"/>
      <c r="I19" s="9" t="s">
        <v>13</v>
      </c>
      <c r="J19" s="12">
        <v>3</v>
      </c>
      <c r="K19" s="68" t="s">
        <v>260</v>
      </c>
      <c r="L19" s="9" t="s">
        <v>258</v>
      </c>
      <c r="M19" s="160"/>
      <c r="N19" s="9" t="s">
        <v>258</v>
      </c>
      <c r="O19" s="9"/>
      <c r="P19" s="10"/>
      <c r="Q19" s="118">
        <f>IF(I19="SI",J19,"")</f>
        <v>3</v>
      </c>
      <c r="R19" s="118" t="str">
        <f>IF(I19="SI","",J19)</f>
        <v/>
      </c>
      <c r="S19" s="122"/>
      <c r="T19" s="120"/>
      <c r="U19" s="121"/>
    </row>
    <row r="20" spans="1:26" x14ac:dyDescent="0.3">
      <c r="A20" s="8">
        <v>18</v>
      </c>
      <c r="B20" s="8" t="s">
        <v>467</v>
      </c>
      <c r="C20" s="9" t="s">
        <v>8</v>
      </c>
      <c r="D20" s="10" t="s">
        <v>47</v>
      </c>
      <c r="E20" s="11" t="s">
        <v>48</v>
      </c>
      <c r="F20" s="12" t="s">
        <v>4</v>
      </c>
      <c r="G20" s="12" t="s">
        <v>16</v>
      </c>
      <c r="H20" s="12"/>
      <c r="I20" s="9" t="s">
        <v>13</v>
      </c>
      <c r="J20" s="12">
        <v>3</v>
      </c>
      <c r="K20" s="68" t="s">
        <v>260</v>
      </c>
      <c r="L20" s="9" t="s">
        <v>258</v>
      </c>
      <c r="M20" s="160"/>
      <c r="N20" s="9" t="s">
        <v>258</v>
      </c>
      <c r="O20" s="9"/>
      <c r="P20" s="10"/>
      <c r="Q20" s="118">
        <f>IF(I20="SI",J20,"")</f>
        <v>3</v>
      </c>
      <c r="R20" s="118" t="str">
        <f>IF(I20="SI","",J20)</f>
        <v/>
      </c>
      <c r="S20" s="122"/>
      <c r="T20" s="120"/>
      <c r="U20" s="121"/>
    </row>
    <row r="21" spans="1:26" x14ac:dyDescent="0.3">
      <c r="A21" s="8">
        <v>19</v>
      </c>
      <c r="B21" s="8" t="s">
        <v>467</v>
      </c>
      <c r="C21" s="9" t="s">
        <v>8</v>
      </c>
      <c r="D21" s="10" t="s">
        <v>49</v>
      </c>
      <c r="E21" s="11" t="s">
        <v>50</v>
      </c>
      <c r="F21" s="12" t="s">
        <v>4</v>
      </c>
      <c r="G21" s="12" t="s">
        <v>51</v>
      </c>
      <c r="H21" s="172" t="s">
        <v>505</v>
      </c>
      <c r="I21" s="9" t="s">
        <v>13</v>
      </c>
      <c r="J21" s="12">
        <v>2</v>
      </c>
      <c r="K21" s="68" t="s">
        <v>260</v>
      </c>
      <c r="L21" s="9" t="s">
        <v>258</v>
      </c>
      <c r="M21" s="160"/>
      <c r="N21" s="9" t="s">
        <v>258</v>
      </c>
      <c r="O21" s="9"/>
      <c r="P21" s="10"/>
      <c r="Q21" s="118">
        <f>IF(I21="SI",J21,"")</f>
        <v>2</v>
      </c>
      <c r="R21" s="118" t="str">
        <f>IF(I21="SI","",J21)</f>
        <v/>
      </c>
      <c r="S21" s="122"/>
      <c r="T21" s="120"/>
      <c r="U21" s="121"/>
    </row>
    <row r="22" spans="1:26" x14ac:dyDescent="0.3">
      <c r="A22" s="8">
        <v>20</v>
      </c>
      <c r="B22" s="8" t="s">
        <v>467</v>
      </c>
      <c r="C22" s="9" t="s">
        <v>8</v>
      </c>
      <c r="D22" s="10" t="s">
        <v>52</v>
      </c>
      <c r="E22" s="11" t="s">
        <v>53</v>
      </c>
      <c r="F22" s="12" t="s">
        <v>4</v>
      </c>
      <c r="G22" s="12" t="s">
        <v>51</v>
      </c>
      <c r="H22" s="172" t="s">
        <v>505</v>
      </c>
      <c r="I22" s="9" t="s">
        <v>13</v>
      </c>
      <c r="J22" s="12">
        <v>4</v>
      </c>
      <c r="K22" s="22" t="s">
        <v>465</v>
      </c>
      <c r="L22" s="9" t="s">
        <v>258</v>
      </c>
      <c r="M22" s="67" t="s">
        <v>256</v>
      </c>
      <c r="N22" s="9" t="s">
        <v>258</v>
      </c>
      <c r="O22" s="9"/>
      <c r="P22" s="166" t="s">
        <v>503</v>
      </c>
      <c r="Q22" s="118" t="s">
        <v>472</v>
      </c>
      <c r="R22" s="118">
        <f>J22</f>
        <v>4</v>
      </c>
      <c r="S22" s="122" t="s">
        <v>477</v>
      </c>
      <c r="T22" s="120"/>
      <c r="U22" s="121"/>
    </row>
    <row r="23" spans="1:26" x14ac:dyDescent="0.3">
      <c r="A23" s="8">
        <v>21</v>
      </c>
      <c r="B23" s="8" t="s">
        <v>467</v>
      </c>
      <c r="C23" s="9" t="s">
        <v>8</v>
      </c>
      <c r="D23" s="10" t="s">
        <v>54</v>
      </c>
      <c r="E23" s="11" t="s">
        <v>55</v>
      </c>
      <c r="F23" s="12" t="s">
        <v>4</v>
      </c>
      <c r="G23" s="12" t="s">
        <v>51</v>
      </c>
      <c r="H23" s="12" t="s">
        <v>506</v>
      </c>
      <c r="I23" s="9" t="s">
        <v>13</v>
      </c>
      <c r="J23" s="12">
        <v>4</v>
      </c>
      <c r="K23" s="22" t="s">
        <v>465</v>
      </c>
      <c r="L23" s="9" t="s">
        <v>258</v>
      </c>
      <c r="M23" s="163" t="s">
        <v>501</v>
      </c>
      <c r="N23" s="9" t="s">
        <v>258</v>
      </c>
      <c r="O23" s="9"/>
      <c r="P23" s="10"/>
      <c r="Q23" s="118">
        <f t="shared" ref="Q23:Q33" si="0">IF(I23="SI",J23,"")</f>
        <v>4</v>
      </c>
      <c r="R23" s="118" t="str">
        <f t="shared" ref="R23:R33" si="1">IF(I23="SI","",J23)</f>
        <v/>
      </c>
      <c r="S23" s="122"/>
      <c r="T23" s="120"/>
      <c r="U23" s="121"/>
    </row>
    <row r="24" spans="1:26" x14ac:dyDescent="0.3">
      <c r="A24" s="8">
        <v>22</v>
      </c>
      <c r="B24" s="8" t="s">
        <v>467</v>
      </c>
      <c r="C24" s="9" t="s">
        <v>8</v>
      </c>
      <c r="D24" s="10" t="s">
        <v>56</v>
      </c>
      <c r="E24" s="11" t="s">
        <v>57</v>
      </c>
      <c r="F24" s="12" t="s">
        <v>4</v>
      </c>
      <c r="G24" s="12" t="s">
        <v>51</v>
      </c>
      <c r="H24" s="12" t="s">
        <v>506</v>
      </c>
      <c r="I24" s="9" t="s">
        <v>13</v>
      </c>
      <c r="J24" s="12">
        <v>2</v>
      </c>
      <c r="K24" s="8" t="s">
        <v>261</v>
      </c>
      <c r="L24" s="9" t="s">
        <v>258</v>
      </c>
      <c r="M24" s="160"/>
      <c r="N24" s="9" t="s">
        <v>258</v>
      </c>
      <c r="O24" s="9"/>
      <c r="P24" s="10"/>
      <c r="Q24" s="118">
        <f t="shared" si="0"/>
        <v>2</v>
      </c>
      <c r="R24" s="118" t="str">
        <f t="shared" si="1"/>
        <v/>
      </c>
      <c r="S24" s="122"/>
      <c r="T24" s="120"/>
      <c r="U24" s="121"/>
    </row>
    <row r="25" spans="1:26" x14ac:dyDescent="0.3">
      <c r="A25" s="8">
        <v>23</v>
      </c>
      <c r="B25" s="8" t="s">
        <v>467</v>
      </c>
      <c r="C25" s="9" t="s">
        <v>8</v>
      </c>
      <c r="D25" s="10" t="s">
        <v>58</v>
      </c>
      <c r="E25" s="11" t="s">
        <v>59</v>
      </c>
      <c r="F25" s="12" t="s">
        <v>4</v>
      </c>
      <c r="G25" s="12" t="s">
        <v>51</v>
      </c>
      <c r="H25" s="12" t="s">
        <v>506</v>
      </c>
      <c r="I25" s="9" t="s">
        <v>13</v>
      </c>
      <c r="J25" s="12">
        <v>4</v>
      </c>
      <c r="K25" s="8" t="s">
        <v>261</v>
      </c>
      <c r="L25" s="9" t="s">
        <v>258</v>
      </c>
      <c r="M25" s="160"/>
      <c r="N25" s="9" t="s">
        <v>258</v>
      </c>
      <c r="O25" s="9"/>
      <c r="P25" s="10"/>
      <c r="Q25" s="118">
        <f t="shared" si="0"/>
        <v>4</v>
      </c>
      <c r="R25" s="118" t="str">
        <f t="shared" si="1"/>
        <v/>
      </c>
      <c r="S25" s="122"/>
      <c r="T25" s="120"/>
      <c r="U25" s="121"/>
    </row>
    <row r="26" spans="1:26" x14ac:dyDescent="0.3">
      <c r="A26" s="8">
        <v>24</v>
      </c>
      <c r="B26" s="8" t="s">
        <v>467</v>
      </c>
      <c r="C26" s="9" t="s">
        <v>8</v>
      </c>
      <c r="D26" s="10" t="s">
        <v>60</v>
      </c>
      <c r="E26" s="11" t="s">
        <v>61</v>
      </c>
      <c r="F26" s="12" t="s">
        <v>4</v>
      </c>
      <c r="G26" s="12" t="s">
        <v>51</v>
      </c>
      <c r="H26" s="12" t="s">
        <v>506</v>
      </c>
      <c r="I26" s="9" t="s">
        <v>13</v>
      </c>
      <c r="J26" s="12">
        <v>3</v>
      </c>
      <c r="K26" s="8" t="s">
        <v>261</v>
      </c>
      <c r="L26" s="9" t="s">
        <v>258</v>
      </c>
      <c r="M26" s="160"/>
      <c r="N26" s="9" t="s">
        <v>258</v>
      </c>
      <c r="O26" s="9"/>
      <c r="P26" s="10"/>
      <c r="Q26" s="118">
        <f t="shared" si="0"/>
        <v>3</v>
      </c>
      <c r="R26" s="118" t="str">
        <f t="shared" si="1"/>
        <v/>
      </c>
      <c r="S26" s="122"/>
      <c r="T26" s="120"/>
      <c r="U26" s="121"/>
    </row>
    <row r="27" spans="1:26" x14ac:dyDescent="0.3">
      <c r="A27" s="8">
        <v>25</v>
      </c>
      <c r="B27" s="8" t="s">
        <v>467</v>
      </c>
      <c r="C27" s="9" t="s">
        <v>8</v>
      </c>
      <c r="D27" s="10" t="s">
        <v>62</v>
      </c>
      <c r="E27" s="11" t="s">
        <v>63</v>
      </c>
      <c r="F27" s="12" t="s">
        <v>4</v>
      </c>
      <c r="G27" s="12" t="s">
        <v>51</v>
      </c>
      <c r="H27" s="12" t="s">
        <v>506</v>
      </c>
      <c r="I27" s="9" t="s">
        <v>13</v>
      </c>
      <c r="J27" s="12">
        <v>5</v>
      </c>
      <c r="K27" s="8" t="s">
        <v>261</v>
      </c>
      <c r="L27" s="9" t="s">
        <v>258</v>
      </c>
      <c r="M27" s="160"/>
      <c r="N27" s="9" t="s">
        <v>258</v>
      </c>
      <c r="O27" s="9"/>
      <c r="P27" s="10"/>
      <c r="Q27" s="118">
        <f t="shared" si="0"/>
        <v>5</v>
      </c>
      <c r="R27" s="118" t="str">
        <f t="shared" si="1"/>
        <v/>
      </c>
      <c r="S27" s="122"/>
      <c r="T27" s="120"/>
      <c r="U27" s="121"/>
    </row>
    <row r="28" spans="1:26" x14ac:dyDescent="0.3">
      <c r="A28" s="8">
        <v>26</v>
      </c>
      <c r="B28" s="8" t="s">
        <v>467</v>
      </c>
      <c r="C28" s="9" t="s">
        <v>8</v>
      </c>
      <c r="D28" s="10" t="s">
        <v>64</v>
      </c>
      <c r="E28" s="11" t="s">
        <v>65</v>
      </c>
      <c r="F28" s="12" t="s">
        <v>4</v>
      </c>
      <c r="G28" s="12" t="s">
        <v>51</v>
      </c>
      <c r="H28" s="12" t="s">
        <v>506</v>
      </c>
      <c r="I28" s="9" t="s">
        <v>13</v>
      </c>
      <c r="J28" s="12">
        <v>3</v>
      </c>
      <c r="K28" s="8" t="s">
        <v>261</v>
      </c>
      <c r="L28" s="9" t="s">
        <v>258</v>
      </c>
      <c r="M28" s="160"/>
      <c r="N28" s="9" t="s">
        <v>258</v>
      </c>
      <c r="O28" s="9"/>
      <c r="P28" s="10"/>
      <c r="Q28" s="118">
        <f t="shared" si="0"/>
        <v>3</v>
      </c>
      <c r="R28" s="118" t="str">
        <f t="shared" si="1"/>
        <v/>
      </c>
      <c r="S28" s="122"/>
      <c r="T28" s="120"/>
      <c r="U28" s="121"/>
    </row>
    <row r="29" spans="1:26" x14ac:dyDescent="0.3">
      <c r="A29" s="8">
        <v>27</v>
      </c>
      <c r="B29" s="8" t="s">
        <v>467</v>
      </c>
      <c r="C29" s="9" t="s">
        <v>8</v>
      </c>
      <c r="D29" s="10" t="s">
        <v>66</v>
      </c>
      <c r="E29" s="11" t="s">
        <v>67</v>
      </c>
      <c r="F29" s="12" t="s">
        <v>4</v>
      </c>
      <c r="G29" s="12" t="s">
        <v>51</v>
      </c>
      <c r="H29" s="12" t="s">
        <v>506</v>
      </c>
      <c r="I29" s="9" t="s">
        <v>13</v>
      </c>
      <c r="J29" s="12">
        <v>4</v>
      </c>
      <c r="K29" s="8" t="s">
        <v>261</v>
      </c>
      <c r="L29" s="9" t="s">
        <v>258</v>
      </c>
      <c r="M29" s="160"/>
      <c r="N29" s="9" t="s">
        <v>258</v>
      </c>
      <c r="O29" s="9"/>
      <c r="P29" s="10"/>
      <c r="Q29" s="118">
        <f t="shared" si="0"/>
        <v>4</v>
      </c>
      <c r="R29" s="118" t="str">
        <f t="shared" si="1"/>
        <v/>
      </c>
      <c r="S29" s="122"/>
      <c r="T29" s="120"/>
      <c r="U29" s="121"/>
    </row>
    <row r="30" spans="1:26" x14ac:dyDescent="0.3">
      <c r="A30" s="8">
        <v>28</v>
      </c>
      <c r="B30" s="8" t="s">
        <v>467</v>
      </c>
      <c r="C30" s="9" t="s">
        <v>8</v>
      </c>
      <c r="D30" s="10" t="s">
        <v>68</v>
      </c>
      <c r="E30" s="11" t="s">
        <v>69</v>
      </c>
      <c r="F30" s="12" t="s">
        <v>4</v>
      </c>
      <c r="G30" s="12" t="s">
        <v>51</v>
      </c>
      <c r="H30" s="12" t="s">
        <v>506</v>
      </c>
      <c r="I30" s="9" t="s">
        <v>13</v>
      </c>
      <c r="J30" s="12">
        <v>4</v>
      </c>
      <c r="K30" s="8" t="s">
        <v>261</v>
      </c>
      <c r="L30" s="9" t="s">
        <v>258</v>
      </c>
      <c r="M30" s="160"/>
      <c r="N30" s="9" t="s">
        <v>258</v>
      </c>
      <c r="O30" s="9"/>
      <c r="P30" s="10"/>
      <c r="Q30" s="118">
        <f t="shared" si="0"/>
        <v>4</v>
      </c>
      <c r="R30" s="118" t="str">
        <f t="shared" si="1"/>
        <v/>
      </c>
      <c r="S30" s="122"/>
      <c r="T30" s="120"/>
      <c r="U30" s="121"/>
    </row>
    <row r="31" spans="1:26" hidden="1" x14ac:dyDescent="0.3">
      <c r="A31" s="8">
        <v>216</v>
      </c>
      <c r="B31" s="8" t="s">
        <v>468</v>
      </c>
      <c r="C31" s="9" t="s">
        <v>8</v>
      </c>
      <c r="D31" s="10" t="s">
        <v>450</v>
      </c>
      <c r="E31" s="11" t="s">
        <v>451</v>
      </c>
      <c r="F31" s="12" t="s">
        <v>4</v>
      </c>
      <c r="G31" s="12" t="s">
        <v>51</v>
      </c>
      <c r="H31" s="12" t="s">
        <v>506</v>
      </c>
      <c r="I31" s="9" t="s">
        <v>178</v>
      </c>
      <c r="J31" s="12">
        <v>3</v>
      </c>
      <c r="K31" s="68" t="s">
        <v>260</v>
      </c>
      <c r="L31" s="9" t="s">
        <v>258</v>
      </c>
      <c r="M31" s="160"/>
      <c r="N31" s="9" t="s">
        <v>258</v>
      </c>
      <c r="O31" s="9"/>
      <c r="Q31" s="118" t="str">
        <f t="shared" si="0"/>
        <v/>
      </c>
      <c r="R31" s="118">
        <f t="shared" si="1"/>
        <v>3</v>
      </c>
      <c r="S31" s="122"/>
      <c r="T31" s="120"/>
      <c r="U31" s="120"/>
      <c r="V31" s="63"/>
      <c r="Z31" s="64"/>
    </row>
    <row r="32" spans="1:26" x14ac:dyDescent="0.3">
      <c r="A32" s="22">
        <v>72</v>
      </c>
      <c r="B32" s="22" t="s">
        <v>467</v>
      </c>
      <c r="C32" s="23" t="s">
        <v>157</v>
      </c>
      <c r="D32" s="24" t="s">
        <v>158</v>
      </c>
      <c r="E32" s="11" t="s">
        <v>159</v>
      </c>
      <c r="F32" s="17" t="s">
        <v>4</v>
      </c>
      <c r="G32" s="17" t="s">
        <v>16</v>
      </c>
      <c r="H32" s="17"/>
      <c r="I32" s="23" t="s">
        <v>13</v>
      </c>
      <c r="J32" s="17">
        <v>3</v>
      </c>
      <c r="K32" s="67" t="s">
        <v>256</v>
      </c>
      <c r="L32" s="9" t="s">
        <v>258</v>
      </c>
      <c r="M32" s="160"/>
      <c r="N32" s="9" t="s">
        <v>258</v>
      </c>
      <c r="O32" s="9"/>
      <c r="Q32" s="118">
        <f t="shared" si="0"/>
        <v>3</v>
      </c>
      <c r="R32" s="118" t="str">
        <f t="shared" si="1"/>
        <v/>
      </c>
      <c r="S32" s="122"/>
      <c r="T32" s="120"/>
      <c r="U32" s="121"/>
    </row>
    <row r="33" spans="1:26" x14ac:dyDescent="0.3">
      <c r="A33" s="22">
        <v>73</v>
      </c>
      <c r="B33" s="22" t="s">
        <v>467</v>
      </c>
      <c r="C33" s="23" t="s">
        <v>157</v>
      </c>
      <c r="D33" s="24" t="s">
        <v>161</v>
      </c>
      <c r="E33" s="11" t="s">
        <v>159</v>
      </c>
      <c r="F33" s="17" t="s">
        <v>4</v>
      </c>
      <c r="G33" s="17" t="s">
        <v>16</v>
      </c>
      <c r="H33" s="17"/>
      <c r="I33" s="23" t="s">
        <v>13</v>
      </c>
      <c r="J33" s="17">
        <v>4</v>
      </c>
      <c r="K33" s="67" t="s">
        <v>256</v>
      </c>
      <c r="L33" s="9" t="s">
        <v>258</v>
      </c>
      <c r="M33" s="160"/>
      <c r="N33" s="9" t="s">
        <v>258</v>
      </c>
      <c r="O33" s="9"/>
      <c r="Q33" s="118">
        <f t="shared" si="0"/>
        <v>4</v>
      </c>
      <c r="R33" s="118" t="str">
        <f t="shared" si="1"/>
        <v/>
      </c>
      <c r="S33" s="122"/>
      <c r="T33" s="120"/>
      <c r="U33" s="121"/>
    </row>
    <row r="34" spans="1:26" x14ac:dyDescent="0.3">
      <c r="A34" s="8">
        <v>29</v>
      </c>
      <c r="B34" s="8" t="s">
        <v>467</v>
      </c>
      <c r="C34" s="9" t="s">
        <v>8</v>
      </c>
      <c r="D34" s="10" t="s">
        <v>70</v>
      </c>
      <c r="E34" s="11" t="s">
        <v>71</v>
      </c>
      <c r="F34" s="12" t="s">
        <v>4</v>
      </c>
      <c r="G34" s="12" t="s">
        <v>16</v>
      </c>
      <c r="H34" s="12"/>
      <c r="I34" s="9" t="s">
        <v>13</v>
      </c>
      <c r="J34" s="12">
        <v>5</v>
      </c>
      <c r="K34" s="8" t="s">
        <v>507</v>
      </c>
      <c r="L34" s="9" t="s">
        <v>258</v>
      </c>
      <c r="M34" s="160"/>
      <c r="N34" s="9" t="s">
        <v>258</v>
      </c>
      <c r="O34" s="9"/>
      <c r="P34" s="10"/>
      <c r="Q34" s="118" t="s">
        <v>472</v>
      </c>
      <c r="R34" s="118">
        <f>J34</f>
        <v>5</v>
      </c>
      <c r="S34" s="122" t="s">
        <v>484</v>
      </c>
      <c r="T34" s="120"/>
      <c r="U34" s="121"/>
    </row>
    <row r="35" spans="1:26" x14ac:dyDescent="0.3">
      <c r="A35" s="8">
        <v>30</v>
      </c>
      <c r="B35" s="8" t="s">
        <v>467</v>
      </c>
      <c r="C35" s="9" t="s">
        <v>8</v>
      </c>
      <c r="D35" s="10" t="s">
        <v>72</v>
      </c>
      <c r="E35" s="11" t="s">
        <v>73</v>
      </c>
      <c r="F35" s="12" t="s">
        <v>4</v>
      </c>
      <c r="G35" s="12" t="s">
        <v>16</v>
      </c>
      <c r="H35" s="12"/>
      <c r="I35" s="9" t="s">
        <v>13</v>
      </c>
      <c r="J35" s="12">
        <v>3</v>
      </c>
      <c r="K35" s="8" t="s">
        <v>261</v>
      </c>
      <c r="L35" s="9" t="s">
        <v>258</v>
      </c>
      <c r="M35" s="160"/>
      <c r="N35" s="9" t="s">
        <v>258</v>
      </c>
      <c r="O35" s="9"/>
      <c r="P35" s="10"/>
      <c r="Q35" s="118">
        <f>IF(I35="SI",J35,"")</f>
        <v>3</v>
      </c>
      <c r="R35" s="118" t="str">
        <f>IF(I35="SI","",J35)</f>
        <v/>
      </c>
      <c r="S35" s="122"/>
      <c r="T35" s="120"/>
      <c r="U35" s="121"/>
    </row>
    <row r="36" spans="1:26" hidden="1" x14ac:dyDescent="0.3">
      <c r="A36" s="8">
        <v>124</v>
      </c>
      <c r="B36" s="8" t="s">
        <v>468</v>
      </c>
      <c r="C36" s="9" t="s">
        <v>8</v>
      </c>
      <c r="D36" s="10" t="s">
        <v>264</v>
      </c>
      <c r="E36" s="30" t="s">
        <v>265</v>
      </c>
      <c r="F36" s="12" t="s">
        <v>4</v>
      </c>
      <c r="G36" s="13" t="s">
        <v>16</v>
      </c>
      <c r="H36" s="13"/>
      <c r="I36" s="9" t="s">
        <v>13</v>
      </c>
      <c r="J36" s="12">
        <v>3</v>
      </c>
      <c r="K36" s="67" t="s">
        <v>256</v>
      </c>
      <c r="L36" s="9" t="s">
        <v>257</v>
      </c>
      <c r="M36" s="160"/>
      <c r="N36" s="9" t="s">
        <v>258</v>
      </c>
      <c r="O36" s="9"/>
      <c r="P36" s="10" t="s">
        <v>259</v>
      </c>
      <c r="Q36" s="118">
        <f>IF(I36="SI",J36,"")</f>
        <v>3</v>
      </c>
      <c r="R36" s="118" t="str">
        <f>IF(I36="SI","",J36)</f>
        <v/>
      </c>
      <c r="S36" s="122"/>
      <c r="T36" s="120"/>
      <c r="U36" s="120"/>
      <c r="V36" s="63"/>
      <c r="Z36" s="64"/>
    </row>
    <row r="37" spans="1:26" hidden="1" x14ac:dyDescent="0.3">
      <c r="A37" s="8">
        <v>125</v>
      </c>
      <c r="B37" s="8" t="s">
        <v>468</v>
      </c>
      <c r="C37" s="9" t="s">
        <v>8</v>
      </c>
      <c r="D37" s="10" t="s">
        <v>266</v>
      </c>
      <c r="E37" s="30" t="s">
        <v>267</v>
      </c>
      <c r="F37" s="12" t="s">
        <v>4</v>
      </c>
      <c r="G37" s="12" t="s">
        <v>16</v>
      </c>
      <c r="H37" s="12"/>
      <c r="I37" s="9" t="s">
        <v>13</v>
      </c>
      <c r="J37" s="12">
        <v>2</v>
      </c>
      <c r="K37" s="67" t="s">
        <v>256</v>
      </c>
      <c r="L37" s="9" t="s">
        <v>257</v>
      </c>
      <c r="M37" s="160"/>
      <c r="N37" s="9" t="s">
        <v>258</v>
      </c>
      <c r="O37" s="9"/>
      <c r="P37" s="10" t="s">
        <v>259</v>
      </c>
      <c r="Q37" s="118">
        <f>IF(I37="SI",J37,"")</f>
        <v>2</v>
      </c>
      <c r="R37" s="118" t="str">
        <f>IF(I37="SI","",J37)</f>
        <v/>
      </c>
      <c r="S37" s="122"/>
      <c r="T37" s="120"/>
      <c r="U37" s="120"/>
      <c r="V37" s="63"/>
      <c r="Z37" s="64"/>
    </row>
    <row r="38" spans="1:26" x14ac:dyDescent="0.3">
      <c r="A38" s="8">
        <v>31</v>
      </c>
      <c r="B38" s="8" t="s">
        <v>467</v>
      </c>
      <c r="C38" s="9" t="s">
        <v>8</v>
      </c>
      <c r="D38" s="10" t="s">
        <v>74</v>
      </c>
      <c r="E38" s="11" t="s">
        <v>75</v>
      </c>
      <c r="F38" s="12" t="s">
        <v>4</v>
      </c>
      <c r="G38" s="12" t="s">
        <v>16</v>
      </c>
      <c r="H38" s="12"/>
      <c r="I38" s="9" t="s">
        <v>13</v>
      </c>
      <c r="J38" s="12">
        <v>2</v>
      </c>
      <c r="K38" s="8" t="s">
        <v>261</v>
      </c>
      <c r="L38" s="9" t="s">
        <v>258</v>
      </c>
      <c r="M38" s="160"/>
      <c r="N38" s="9" t="s">
        <v>258</v>
      </c>
      <c r="O38" s="9"/>
      <c r="P38" s="10"/>
      <c r="Q38" s="118">
        <f>IF(I38="SI",J38,"")</f>
        <v>2</v>
      </c>
      <c r="R38" s="118" t="str">
        <f>IF(I38="SI","",J38)</f>
        <v/>
      </c>
      <c r="S38" s="122"/>
      <c r="T38" s="120"/>
      <c r="U38" s="121"/>
    </row>
    <row r="39" spans="1:26" x14ac:dyDescent="0.3">
      <c r="A39" s="8">
        <v>32</v>
      </c>
      <c r="B39" s="8" t="s">
        <v>467</v>
      </c>
      <c r="C39" s="9" t="s">
        <v>8</v>
      </c>
      <c r="D39" s="10" t="s">
        <v>76</v>
      </c>
      <c r="E39" s="14" t="s">
        <v>77</v>
      </c>
      <c r="F39" s="12" t="s">
        <v>4</v>
      </c>
      <c r="G39" s="12" t="s">
        <v>16</v>
      </c>
      <c r="H39" s="12"/>
      <c r="I39" s="9" t="s">
        <v>13</v>
      </c>
      <c r="J39" s="15">
        <v>4</v>
      </c>
      <c r="K39" s="8" t="s">
        <v>507</v>
      </c>
      <c r="L39" s="9" t="s">
        <v>258</v>
      </c>
      <c r="M39" s="160"/>
      <c r="N39" s="9" t="s">
        <v>258</v>
      </c>
      <c r="O39" s="9"/>
      <c r="P39" s="10"/>
      <c r="Q39" s="118" t="s">
        <v>472</v>
      </c>
      <c r="R39" s="118">
        <f>J39</f>
        <v>4</v>
      </c>
      <c r="S39" s="122" t="s">
        <v>479</v>
      </c>
      <c r="T39" s="120"/>
      <c r="U39" s="121"/>
    </row>
    <row r="40" spans="1:26" hidden="1" x14ac:dyDescent="0.3">
      <c r="A40" s="8">
        <v>126</v>
      </c>
      <c r="B40" s="8" t="s">
        <v>468</v>
      </c>
      <c r="C40" s="9" t="s">
        <v>8</v>
      </c>
      <c r="D40" s="10" t="s">
        <v>268</v>
      </c>
      <c r="E40" s="30" t="s">
        <v>269</v>
      </c>
      <c r="F40" s="12" t="s">
        <v>4</v>
      </c>
      <c r="G40" s="12" t="s">
        <v>16</v>
      </c>
      <c r="H40" s="12"/>
      <c r="I40" s="9" t="s">
        <v>13</v>
      </c>
      <c r="J40" s="12">
        <v>3</v>
      </c>
      <c r="K40" s="151" t="s">
        <v>496</v>
      </c>
      <c r="L40" s="9" t="s">
        <v>258</v>
      </c>
      <c r="M40" s="160"/>
      <c r="N40" s="9" t="s">
        <v>258</v>
      </c>
      <c r="O40" s="9"/>
      <c r="P40" s="10"/>
      <c r="Q40" s="118">
        <f t="shared" ref="Q40:Q55" si="2">IF(I40="SI",J40,"")</f>
        <v>3</v>
      </c>
      <c r="R40" s="118" t="str">
        <f t="shared" ref="R40:R55" si="3">IF(I40="SI","",J40)</f>
        <v/>
      </c>
      <c r="S40" s="122"/>
      <c r="T40" s="120"/>
      <c r="U40" s="120"/>
      <c r="V40" s="63"/>
      <c r="Z40" s="64"/>
    </row>
    <row r="41" spans="1:26" hidden="1" x14ac:dyDescent="0.3">
      <c r="A41" s="8">
        <v>127</v>
      </c>
      <c r="B41" s="8" t="s">
        <v>468</v>
      </c>
      <c r="C41" s="9" t="s">
        <v>8</v>
      </c>
      <c r="D41" s="10" t="s">
        <v>270</v>
      </c>
      <c r="E41" s="30" t="s">
        <v>271</v>
      </c>
      <c r="F41" s="12" t="s">
        <v>4</v>
      </c>
      <c r="G41" s="12" t="s">
        <v>16</v>
      </c>
      <c r="H41" s="12"/>
      <c r="I41" s="9" t="s">
        <v>13</v>
      </c>
      <c r="J41" s="12">
        <v>2</v>
      </c>
      <c r="K41" s="151" t="s">
        <v>496</v>
      </c>
      <c r="L41" s="9" t="s">
        <v>258</v>
      </c>
      <c r="M41" s="160"/>
      <c r="N41" s="9" t="s">
        <v>258</v>
      </c>
      <c r="O41" s="9"/>
      <c r="P41" s="10"/>
      <c r="Q41" s="118">
        <f t="shared" si="2"/>
        <v>2</v>
      </c>
      <c r="R41" s="118" t="str">
        <f t="shared" si="3"/>
        <v/>
      </c>
      <c r="S41" s="122"/>
      <c r="T41" s="120"/>
      <c r="U41" s="120"/>
      <c r="V41" s="63"/>
      <c r="Z41" s="64"/>
    </row>
    <row r="42" spans="1:26" hidden="1" x14ac:dyDescent="0.3">
      <c r="A42" s="8">
        <v>128</v>
      </c>
      <c r="B42" s="8" t="s">
        <v>468</v>
      </c>
      <c r="C42" s="9" t="s">
        <v>8</v>
      </c>
      <c r="D42" s="10" t="s">
        <v>272</v>
      </c>
      <c r="E42" s="30" t="s">
        <v>273</v>
      </c>
      <c r="F42" s="12" t="s">
        <v>4</v>
      </c>
      <c r="G42" s="12" t="s">
        <v>16</v>
      </c>
      <c r="H42" s="12"/>
      <c r="I42" s="9" t="s">
        <v>13</v>
      </c>
      <c r="J42" s="12">
        <v>4</v>
      </c>
      <c r="K42" s="151" t="s">
        <v>496</v>
      </c>
      <c r="L42" s="9" t="s">
        <v>258</v>
      </c>
      <c r="M42" s="160"/>
      <c r="N42" s="9" t="s">
        <v>258</v>
      </c>
      <c r="O42" s="9"/>
      <c r="P42" s="10"/>
      <c r="Q42" s="118">
        <f t="shared" si="2"/>
        <v>4</v>
      </c>
      <c r="R42" s="118" t="str">
        <f t="shared" si="3"/>
        <v/>
      </c>
      <c r="S42" s="122"/>
      <c r="T42" s="120"/>
      <c r="U42" s="120"/>
      <c r="V42" s="63"/>
      <c r="Z42" s="64"/>
    </row>
    <row r="43" spans="1:26" hidden="1" x14ac:dyDescent="0.3">
      <c r="A43" s="8">
        <v>129</v>
      </c>
      <c r="B43" s="8" t="s">
        <v>468</v>
      </c>
      <c r="C43" s="9" t="s">
        <v>8</v>
      </c>
      <c r="D43" s="10" t="s">
        <v>274</v>
      </c>
      <c r="E43" s="30" t="s">
        <v>275</v>
      </c>
      <c r="F43" s="12" t="s">
        <v>4</v>
      </c>
      <c r="G43" s="13" t="s">
        <v>51</v>
      </c>
      <c r="H43" s="12" t="s">
        <v>506</v>
      </c>
      <c r="I43" s="9" t="s">
        <v>13</v>
      </c>
      <c r="J43" s="15">
        <v>4</v>
      </c>
      <c r="K43" s="151" t="s">
        <v>496</v>
      </c>
      <c r="L43" s="9" t="s">
        <v>258</v>
      </c>
      <c r="M43" s="160"/>
      <c r="N43" s="9" t="s">
        <v>258</v>
      </c>
      <c r="O43" s="9"/>
      <c r="P43" s="10"/>
      <c r="Q43" s="118">
        <f t="shared" si="2"/>
        <v>4</v>
      </c>
      <c r="R43" s="118" t="str">
        <f t="shared" si="3"/>
        <v/>
      </c>
      <c r="S43" s="122"/>
      <c r="T43" s="120"/>
      <c r="U43" s="120"/>
      <c r="V43" s="63"/>
      <c r="Z43" s="64"/>
    </row>
    <row r="44" spans="1:26" hidden="1" x14ac:dyDescent="0.3">
      <c r="A44" s="22">
        <v>130</v>
      </c>
      <c r="B44" s="22" t="s">
        <v>468</v>
      </c>
      <c r="C44" s="23" t="s">
        <v>8</v>
      </c>
      <c r="D44" s="24" t="s">
        <v>276</v>
      </c>
      <c r="E44" s="30" t="s">
        <v>277</v>
      </c>
      <c r="F44" s="17" t="s">
        <v>4</v>
      </c>
      <c r="G44" s="167" t="s">
        <v>51</v>
      </c>
      <c r="H44" s="17" t="s">
        <v>506</v>
      </c>
      <c r="I44" s="23" t="s">
        <v>13</v>
      </c>
      <c r="J44" s="168">
        <v>2</v>
      </c>
      <c r="K44" s="151" t="s">
        <v>496</v>
      </c>
      <c r="L44" s="9" t="s">
        <v>258</v>
      </c>
      <c r="M44" s="160"/>
      <c r="N44" s="9" t="s">
        <v>258</v>
      </c>
      <c r="O44" s="9"/>
      <c r="P44" s="10"/>
      <c r="Q44" s="118">
        <f t="shared" si="2"/>
        <v>2</v>
      </c>
      <c r="R44" s="118" t="str">
        <f t="shared" si="3"/>
        <v/>
      </c>
      <c r="S44" s="122"/>
      <c r="T44" s="120"/>
      <c r="U44" s="120"/>
      <c r="V44" s="63"/>
      <c r="Z44" s="64"/>
    </row>
    <row r="45" spans="1:26" hidden="1" x14ac:dyDescent="0.3">
      <c r="A45" s="22">
        <v>131</v>
      </c>
      <c r="B45" s="22" t="s">
        <v>468</v>
      </c>
      <c r="C45" s="23" t="s">
        <v>8</v>
      </c>
      <c r="D45" s="24" t="s">
        <v>278</v>
      </c>
      <c r="E45" s="30" t="s">
        <v>277</v>
      </c>
      <c r="F45" s="17" t="s">
        <v>4</v>
      </c>
      <c r="G45" s="17" t="s">
        <v>51</v>
      </c>
      <c r="H45" s="17" t="s">
        <v>506</v>
      </c>
      <c r="I45" s="23" t="s">
        <v>13</v>
      </c>
      <c r="J45" s="17">
        <v>5</v>
      </c>
      <c r="K45" s="151" t="s">
        <v>496</v>
      </c>
      <c r="L45" s="9" t="s">
        <v>258</v>
      </c>
      <c r="M45" s="160"/>
      <c r="N45" s="9" t="s">
        <v>258</v>
      </c>
      <c r="O45" s="9"/>
      <c r="P45" s="10"/>
      <c r="Q45" s="118">
        <f t="shared" si="2"/>
        <v>5</v>
      </c>
      <c r="R45" s="118" t="str">
        <f t="shared" si="3"/>
        <v/>
      </c>
      <c r="S45" s="122"/>
      <c r="T45" s="120"/>
      <c r="U45" s="120"/>
      <c r="V45" s="63"/>
      <c r="Z45" s="64"/>
    </row>
    <row r="46" spans="1:26" hidden="1" x14ac:dyDescent="0.3">
      <c r="A46" s="8">
        <v>132</v>
      </c>
      <c r="B46" s="8" t="s">
        <v>468</v>
      </c>
      <c r="C46" s="9" t="s">
        <v>8</v>
      </c>
      <c r="D46" s="10" t="s">
        <v>279</v>
      </c>
      <c r="E46" s="30" t="s">
        <v>280</v>
      </c>
      <c r="F46" s="12" t="s">
        <v>4</v>
      </c>
      <c r="G46" s="12" t="s">
        <v>51</v>
      </c>
      <c r="H46" s="12" t="s">
        <v>506</v>
      </c>
      <c r="I46" s="9" t="s">
        <v>13</v>
      </c>
      <c r="J46" s="12">
        <v>4</v>
      </c>
      <c r="K46" s="68" t="s">
        <v>260</v>
      </c>
      <c r="L46" s="9" t="s">
        <v>258</v>
      </c>
      <c r="M46" s="160"/>
      <c r="N46" s="9" t="s">
        <v>258</v>
      </c>
      <c r="O46" s="9"/>
      <c r="P46" s="10"/>
      <c r="Q46" s="118">
        <f t="shared" si="2"/>
        <v>4</v>
      </c>
      <c r="R46" s="118" t="str">
        <f t="shared" si="3"/>
        <v/>
      </c>
      <c r="S46" s="122"/>
      <c r="T46" s="120"/>
      <c r="U46" s="120"/>
      <c r="V46" s="63"/>
      <c r="Z46" s="64"/>
    </row>
    <row r="47" spans="1:26" hidden="1" x14ac:dyDescent="0.3">
      <c r="A47" s="8">
        <v>133</v>
      </c>
      <c r="B47" s="8" t="s">
        <v>468</v>
      </c>
      <c r="C47" s="9" t="s">
        <v>8</v>
      </c>
      <c r="D47" s="10" t="s">
        <v>281</v>
      </c>
      <c r="E47" s="30" t="s">
        <v>282</v>
      </c>
      <c r="F47" s="12" t="s">
        <v>4</v>
      </c>
      <c r="G47" s="12" t="s">
        <v>51</v>
      </c>
      <c r="H47" s="12" t="s">
        <v>506</v>
      </c>
      <c r="I47" s="9" t="s">
        <v>13</v>
      </c>
      <c r="J47" s="12">
        <v>5</v>
      </c>
      <c r="K47" s="68" t="s">
        <v>260</v>
      </c>
      <c r="L47" s="9" t="s">
        <v>258</v>
      </c>
      <c r="M47" s="160"/>
      <c r="N47" s="9" t="s">
        <v>258</v>
      </c>
      <c r="O47" s="9"/>
      <c r="P47" s="10"/>
      <c r="Q47" s="118">
        <f t="shared" si="2"/>
        <v>5</v>
      </c>
      <c r="R47" s="118" t="str">
        <f t="shared" si="3"/>
        <v/>
      </c>
      <c r="S47" s="122"/>
      <c r="T47" s="120"/>
      <c r="U47" s="120"/>
      <c r="V47" s="63"/>
      <c r="Z47" s="64"/>
    </row>
    <row r="48" spans="1:26" hidden="1" x14ac:dyDescent="0.3">
      <c r="A48" s="8">
        <v>134</v>
      </c>
      <c r="B48" s="8" t="s">
        <v>468</v>
      </c>
      <c r="C48" s="9" t="s">
        <v>8</v>
      </c>
      <c r="D48" s="10" t="s">
        <v>283</v>
      </c>
      <c r="E48" s="30" t="s">
        <v>284</v>
      </c>
      <c r="F48" s="12" t="s">
        <v>4</v>
      </c>
      <c r="G48" s="12" t="s">
        <v>51</v>
      </c>
      <c r="H48" s="12" t="s">
        <v>506</v>
      </c>
      <c r="I48" s="9" t="s">
        <v>13</v>
      </c>
      <c r="J48" s="12">
        <v>3</v>
      </c>
      <c r="K48" s="68" t="s">
        <v>260</v>
      </c>
      <c r="L48" s="9" t="s">
        <v>258</v>
      </c>
      <c r="M48" s="160"/>
      <c r="N48" s="9" t="s">
        <v>258</v>
      </c>
      <c r="O48" s="9"/>
      <c r="P48" s="10"/>
      <c r="Q48" s="118">
        <f t="shared" si="2"/>
        <v>3</v>
      </c>
      <c r="R48" s="118" t="str">
        <f t="shared" si="3"/>
        <v/>
      </c>
      <c r="S48" s="122"/>
      <c r="T48" s="120"/>
      <c r="U48" s="120"/>
      <c r="V48" s="63"/>
      <c r="Z48" s="64"/>
    </row>
    <row r="49" spans="1:26" hidden="1" x14ac:dyDescent="0.3">
      <c r="A49" s="8">
        <v>135</v>
      </c>
      <c r="B49" s="8" t="s">
        <v>468</v>
      </c>
      <c r="C49" s="9" t="s">
        <v>8</v>
      </c>
      <c r="D49" s="10" t="s">
        <v>285</v>
      </c>
      <c r="E49" s="30" t="s">
        <v>286</v>
      </c>
      <c r="F49" s="12" t="s">
        <v>4</v>
      </c>
      <c r="G49" s="12" t="s">
        <v>51</v>
      </c>
      <c r="H49" s="12" t="s">
        <v>506</v>
      </c>
      <c r="I49" s="9" t="s">
        <v>13</v>
      </c>
      <c r="J49" s="12">
        <v>4</v>
      </c>
      <c r="K49" s="68" t="s">
        <v>260</v>
      </c>
      <c r="L49" s="9" t="s">
        <v>258</v>
      </c>
      <c r="M49" s="160"/>
      <c r="N49" s="9" t="s">
        <v>258</v>
      </c>
      <c r="O49" s="9"/>
      <c r="P49" s="10"/>
      <c r="Q49" s="118">
        <f t="shared" si="2"/>
        <v>4</v>
      </c>
      <c r="R49" s="118" t="str">
        <f t="shared" si="3"/>
        <v/>
      </c>
      <c r="S49" s="122"/>
      <c r="T49" s="120"/>
      <c r="U49" s="120"/>
      <c r="V49" s="63"/>
      <c r="Z49" s="64"/>
    </row>
    <row r="50" spans="1:26" hidden="1" x14ac:dyDescent="0.3">
      <c r="A50" s="8">
        <v>136</v>
      </c>
      <c r="B50" s="8" t="s">
        <v>468</v>
      </c>
      <c r="C50" s="9" t="s">
        <v>8</v>
      </c>
      <c r="D50" s="10" t="s">
        <v>287</v>
      </c>
      <c r="E50" s="30" t="s">
        <v>288</v>
      </c>
      <c r="F50" s="12" t="s">
        <v>4</v>
      </c>
      <c r="G50" s="16" t="s">
        <v>16</v>
      </c>
      <c r="H50" s="16"/>
      <c r="I50" s="9" t="s">
        <v>13</v>
      </c>
      <c r="J50" s="12">
        <v>4</v>
      </c>
      <c r="K50" s="68" t="s">
        <v>260</v>
      </c>
      <c r="L50" s="9" t="s">
        <v>258</v>
      </c>
      <c r="M50" s="160"/>
      <c r="N50" s="9" t="s">
        <v>258</v>
      </c>
      <c r="O50" s="9"/>
      <c r="P50" s="10"/>
      <c r="Q50" s="118">
        <f t="shared" si="2"/>
        <v>4</v>
      </c>
      <c r="R50" s="118" t="str">
        <f t="shared" si="3"/>
        <v/>
      </c>
      <c r="S50" s="122"/>
      <c r="T50" s="120"/>
      <c r="U50" s="120"/>
      <c r="V50" s="63"/>
      <c r="Z50" s="64"/>
    </row>
    <row r="51" spans="1:26" hidden="1" x14ac:dyDescent="0.3">
      <c r="A51" s="8">
        <v>137</v>
      </c>
      <c r="B51" s="8" t="s">
        <v>468</v>
      </c>
      <c r="C51" s="9" t="s">
        <v>8</v>
      </c>
      <c r="D51" s="10" t="s">
        <v>289</v>
      </c>
      <c r="E51" s="30" t="s">
        <v>290</v>
      </c>
      <c r="F51" s="12" t="s">
        <v>4</v>
      </c>
      <c r="G51" s="16" t="s">
        <v>51</v>
      </c>
      <c r="H51" s="12" t="s">
        <v>506</v>
      </c>
      <c r="I51" s="9" t="s">
        <v>13</v>
      </c>
      <c r="J51" s="12">
        <v>4</v>
      </c>
      <c r="K51" s="68" t="s">
        <v>260</v>
      </c>
      <c r="L51" s="9" t="s">
        <v>258</v>
      </c>
      <c r="M51" s="160"/>
      <c r="N51" s="9" t="s">
        <v>258</v>
      </c>
      <c r="O51" s="9"/>
      <c r="P51" s="10"/>
      <c r="Q51" s="118">
        <f t="shared" si="2"/>
        <v>4</v>
      </c>
      <c r="R51" s="118" t="str">
        <f t="shared" si="3"/>
        <v/>
      </c>
      <c r="S51" s="122"/>
      <c r="T51" s="120"/>
      <c r="U51" s="120"/>
      <c r="V51" s="63"/>
      <c r="Z51" s="64"/>
    </row>
    <row r="52" spans="1:26" hidden="1" x14ac:dyDescent="0.3">
      <c r="A52" s="8">
        <v>138</v>
      </c>
      <c r="B52" s="8" t="s">
        <v>468</v>
      </c>
      <c r="C52" s="9" t="s">
        <v>8</v>
      </c>
      <c r="D52" s="10" t="s">
        <v>291</v>
      </c>
      <c r="E52" s="30" t="s">
        <v>292</v>
      </c>
      <c r="F52" s="12" t="s">
        <v>4</v>
      </c>
      <c r="G52" s="12" t="s">
        <v>51</v>
      </c>
      <c r="H52" s="12" t="s">
        <v>506</v>
      </c>
      <c r="I52" s="9" t="s">
        <v>13</v>
      </c>
      <c r="J52" s="12">
        <v>4</v>
      </c>
      <c r="K52" s="68" t="s">
        <v>260</v>
      </c>
      <c r="L52" s="9" t="s">
        <v>258</v>
      </c>
      <c r="M52" s="160"/>
      <c r="N52" s="9" t="s">
        <v>258</v>
      </c>
      <c r="O52" s="9"/>
      <c r="P52" s="10"/>
      <c r="Q52" s="118">
        <f t="shared" si="2"/>
        <v>4</v>
      </c>
      <c r="R52" s="118" t="str">
        <f t="shared" si="3"/>
        <v/>
      </c>
      <c r="S52" s="122"/>
      <c r="T52" s="120"/>
      <c r="U52" s="120"/>
      <c r="V52" s="63"/>
      <c r="Z52" s="64"/>
    </row>
    <row r="53" spans="1:26" hidden="1" x14ac:dyDescent="0.3">
      <c r="A53" s="8">
        <v>139</v>
      </c>
      <c r="B53" s="8" t="s">
        <v>468</v>
      </c>
      <c r="C53" s="9" t="s">
        <v>8</v>
      </c>
      <c r="D53" s="10" t="s">
        <v>293</v>
      </c>
      <c r="E53" s="30" t="s">
        <v>294</v>
      </c>
      <c r="F53" s="12" t="s">
        <v>4</v>
      </c>
      <c r="G53" s="12" t="s">
        <v>51</v>
      </c>
      <c r="H53" s="172" t="s">
        <v>505</v>
      </c>
      <c r="I53" s="9" t="s">
        <v>13</v>
      </c>
      <c r="J53" s="12">
        <v>4</v>
      </c>
      <c r="K53" s="68" t="s">
        <v>260</v>
      </c>
      <c r="L53" s="9" t="s">
        <v>258</v>
      </c>
      <c r="M53" s="160"/>
      <c r="N53" s="9" t="s">
        <v>258</v>
      </c>
      <c r="O53" s="9"/>
      <c r="P53" s="10"/>
      <c r="Q53" s="118">
        <f t="shared" si="2"/>
        <v>4</v>
      </c>
      <c r="R53" s="118" t="str">
        <f t="shared" si="3"/>
        <v/>
      </c>
      <c r="S53" s="122"/>
      <c r="T53" s="120"/>
      <c r="U53" s="120"/>
      <c r="V53" s="63"/>
      <c r="Z53" s="64"/>
    </row>
    <row r="54" spans="1:26" hidden="1" x14ac:dyDescent="0.3">
      <c r="A54" s="8">
        <v>140</v>
      </c>
      <c r="B54" s="8" t="s">
        <v>468</v>
      </c>
      <c r="C54" s="9" t="s">
        <v>8</v>
      </c>
      <c r="D54" s="10" t="s">
        <v>295</v>
      </c>
      <c r="E54" s="30" t="s">
        <v>296</v>
      </c>
      <c r="F54" s="12" t="s">
        <v>4</v>
      </c>
      <c r="G54" s="12" t="s">
        <v>51</v>
      </c>
      <c r="H54" s="172" t="s">
        <v>505</v>
      </c>
      <c r="I54" s="9" t="s">
        <v>13</v>
      </c>
      <c r="J54" s="12">
        <v>3</v>
      </c>
      <c r="K54" s="68" t="s">
        <v>260</v>
      </c>
      <c r="L54" s="9" t="s">
        <v>258</v>
      </c>
      <c r="M54" s="160"/>
      <c r="N54" s="9" t="s">
        <v>258</v>
      </c>
      <c r="O54" s="9"/>
      <c r="P54" s="10"/>
      <c r="Q54" s="118">
        <f t="shared" si="2"/>
        <v>3</v>
      </c>
      <c r="R54" s="118" t="str">
        <f t="shared" si="3"/>
        <v/>
      </c>
      <c r="S54" s="122"/>
      <c r="T54" s="120"/>
      <c r="U54" s="120"/>
      <c r="V54" s="63"/>
      <c r="Z54" s="64"/>
    </row>
    <row r="55" spans="1:26" hidden="1" x14ac:dyDescent="0.3">
      <c r="A55" s="8">
        <v>141</v>
      </c>
      <c r="B55" s="8" t="s">
        <v>468</v>
      </c>
      <c r="C55" s="9" t="s">
        <v>8</v>
      </c>
      <c r="D55" s="10" t="s">
        <v>297</v>
      </c>
      <c r="E55" s="30" t="s">
        <v>298</v>
      </c>
      <c r="F55" s="12" t="s">
        <v>4</v>
      </c>
      <c r="G55" s="12" t="s">
        <v>51</v>
      </c>
      <c r="H55" s="172" t="s">
        <v>505</v>
      </c>
      <c r="I55" s="9" t="s">
        <v>13</v>
      </c>
      <c r="J55" s="12">
        <v>4</v>
      </c>
      <c r="K55" s="8" t="s">
        <v>507</v>
      </c>
      <c r="L55" s="9" t="s">
        <v>258</v>
      </c>
      <c r="M55" s="160"/>
      <c r="N55" s="9" t="s">
        <v>258</v>
      </c>
      <c r="O55" s="9"/>
      <c r="P55" s="10"/>
      <c r="Q55" s="118">
        <f t="shared" si="2"/>
        <v>4</v>
      </c>
      <c r="R55" s="118" t="str">
        <f t="shared" si="3"/>
        <v/>
      </c>
      <c r="S55" s="122"/>
      <c r="T55" s="120"/>
      <c r="U55" s="120"/>
      <c r="V55" s="63"/>
      <c r="Z55" s="64"/>
    </row>
    <row r="56" spans="1:26" hidden="1" x14ac:dyDescent="0.3">
      <c r="A56" s="8">
        <v>142</v>
      </c>
      <c r="B56" s="8" t="s">
        <v>468</v>
      </c>
      <c r="C56" s="9" t="s">
        <v>8</v>
      </c>
      <c r="D56" s="10" t="s">
        <v>299</v>
      </c>
      <c r="E56" s="30" t="s">
        <v>300</v>
      </c>
      <c r="F56" s="12" t="s">
        <v>4</v>
      </c>
      <c r="G56" s="12" t="s">
        <v>51</v>
      </c>
      <c r="H56" s="172" t="s">
        <v>505</v>
      </c>
      <c r="I56" s="9" t="s">
        <v>13</v>
      </c>
      <c r="J56" s="12">
        <v>4</v>
      </c>
      <c r="K56" s="8" t="s">
        <v>507</v>
      </c>
      <c r="L56" s="9" t="s">
        <v>258</v>
      </c>
      <c r="M56" s="160"/>
      <c r="N56" s="9" t="s">
        <v>258</v>
      </c>
      <c r="O56" s="9"/>
      <c r="P56" s="10"/>
      <c r="Q56" s="118" t="s">
        <v>472</v>
      </c>
      <c r="R56" s="118">
        <f>J56</f>
        <v>4</v>
      </c>
      <c r="S56" s="119" t="s">
        <v>474</v>
      </c>
      <c r="T56" s="120"/>
      <c r="U56" s="120"/>
      <c r="V56" s="63"/>
      <c r="Z56" s="64"/>
    </row>
    <row r="57" spans="1:26" hidden="1" x14ac:dyDescent="0.3">
      <c r="A57" s="8">
        <v>143</v>
      </c>
      <c r="B57" s="8" t="s">
        <v>468</v>
      </c>
      <c r="C57" s="9" t="s">
        <v>8</v>
      </c>
      <c r="D57" s="10" t="s">
        <v>301</v>
      </c>
      <c r="E57" s="30" t="s">
        <v>302</v>
      </c>
      <c r="F57" s="12" t="s">
        <v>4</v>
      </c>
      <c r="G57" s="12" t="s">
        <v>16</v>
      </c>
      <c r="H57" s="12"/>
      <c r="I57" s="9" t="s">
        <v>13</v>
      </c>
      <c r="J57" s="12">
        <v>4</v>
      </c>
      <c r="K57" s="8" t="s">
        <v>507</v>
      </c>
      <c r="L57" s="9" t="s">
        <v>258</v>
      </c>
      <c r="M57" s="160"/>
      <c r="N57" s="9" t="s">
        <v>258</v>
      </c>
      <c r="O57" s="9"/>
      <c r="P57" s="10"/>
      <c r="Q57" s="118">
        <f t="shared" ref="Q57:Q78" si="4">IF(I57="SI",J57,"")</f>
        <v>4</v>
      </c>
      <c r="R57" s="118" t="str">
        <f t="shared" ref="R57:R78" si="5">IF(I57="SI","",J57)</f>
        <v/>
      </c>
      <c r="S57" s="122"/>
      <c r="T57" s="120"/>
      <c r="U57" s="120"/>
      <c r="V57" s="63"/>
      <c r="Z57" s="64"/>
    </row>
    <row r="58" spans="1:26" hidden="1" x14ac:dyDescent="0.3">
      <c r="A58" s="8">
        <v>144</v>
      </c>
      <c r="B58" s="8" t="s">
        <v>468</v>
      </c>
      <c r="C58" s="9" t="s">
        <v>8</v>
      </c>
      <c r="D58" s="10" t="s">
        <v>303</v>
      </c>
      <c r="E58" s="30" t="s">
        <v>304</v>
      </c>
      <c r="F58" s="12" t="s">
        <v>4</v>
      </c>
      <c r="G58" s="12" t="s">
        <v>16</v>
      </c>
      <c r="H58" s="12"/>
      <c r="I58" s="9" t="s">
        <v>13</v>
      </c>
      <c r="J58" s="12">
        <v>4</v>
      </c>
      <c r="K58" s="8" t="s">
        <v>507</v>
      </c>
      <c r="L58" s="9" t="s">
        <v>258</v>
      </c>
      <c r="M58" s="160"/>
      <c r="N58" s="9" t="s">
        <v>258</v>
      </c>
      <c r="O58" s="9"/>
      <c r="P58" s="10"/>
      <c r="Q58" s="118">
        <f t="shared" si="4"/>
        <v>4</v>
      </c>
      <c r="R58" s="118" t="str">
        <f t="shared" si="5"/>
        <v/>
      </c>
      <c r="S58" s="122"/>
      <c r="T58" s="120"/>
      <c r="U58" s="120"/>
      <c r="V58" s="63"/>
      <c r="Z58" s="64"/>
    </row>
    <row r="59" spans="1:26" hidden="1" x14ac:dyDescent="0.3">
      <c r="A59" s="8">
        <v>145</v>
      </c>
      <c r="B59" s="8" t="s">
        <v>468</v>
      </c>
      <c r="C59" s="9" t="s">
        <v>8</v>
      </c>
      <c r="D59" s="10" t="s">
        <v>305</v>
      </c>
      <c r="E59" s="30" t="s">
        <v>306</v>
      </c>
      <c r="F59" s="12" t="s">
        <v>4</v>
      </c>
      <c r="G59" s="12" t="s">
        <v>16</v>
      </c>
      <c r="H59" s="12"/>
      <c r="I59" s="9" t="s">
        <v>13</v>
      </c>
      <c r="J59" s="12">
        <v>4</v>
      </c>
      <c r="K59" s="8" t="s">
        <v>507</v>
      </c>
      <c r="L59" s="9" t="s">
        <v>258</v>
      </c>
      <c r="M59" s="160"/>
      <c r="N59" s="9" t="s">
        <v>258</v>
      </c>
      <c r="O59" s="9"/>
      <c r="P59" s="10"/>
      <c r="Q59" s="118">
        <f t="shared" si="4"/>
        <v>4</v>
      </c>
      <c r="R59" s="118" t="str">
        <f t="shared" si="5"/>
        <v/>
      </c>
      <c r="S59" s="122"/>
      <c r="T59" s="120"/>
      <c r="U59" s="120"/>
      <c r="V59" s="63"/>
      <c r="Z59" s="64"/>
    </row>
    <row r="60" spans="1:26" hidden="1" x14ac:dyDescent="0.3">
      <c r="A60" s="8">
        <v>146</v>
      </c>
      <c r="B60" s="8" t="s">
        <v>468</v>
      </c>
      <c r="C60" s="9" t="s">
        <v>8</v>
      </c>
      <c r="D60" s="10" t="s">
        <v>307</v>
      </c>
      <c r="E60" s="30" t="s">
        <v>308</v>
      </c>
      <c r="F60" s="12" t="s">
        <v>4</v>
      </c>
      <c r="G60" s="12" t="s">
        <v>16</v>
      </c>
      <c r="H60" s="12"/>
      <c r="I60" s="9" t="s">
        <v>13</v>
      </c>
      <c r="J60" s="12">
        <v>4</v>
      </c>
      <c r="K60" s="8" t="s">
        <v>507</v>
      </c>
      <c r="L60" s="9" t="s">
        <v>258</v>
      </c>
      <c r="M60" s="160"/>
      <c r="N60" s="9" t="s">
        <v>258</v>
      </c>
      <c r="O60" s="9"/>
      <c r="P60" s="10"/>
      <c r="Q60" s="118">
        <f t="shared" si="4"/>
        <v>4</v>
      </c>
      <c r="R60" s="118" t="str">
        <f t="shared" si="5"/>
        <v/>
      </c>
      <c r="S60" s="122"/>
      <c r="T60" s="120"/>
      <c r="U60" s="120"/>
      <c r="V60" s="63"/>
      <c r="Z60" s="64"/>
    </row>
    <row r="61" spans="1:26" hidden="1" x14ac:dyDescent="0.3">
      <c r="A61" s="8">
        <v>147</v>
      </c>
      <c r="B61" s="8" t="s">
        <v>468</v>
      </c>
      <c r="C61" s="9" t="s">
        <v>8</v>
      </c>
      <c r="D61" s="10" t="s">
        <v>309</v>
      </c>
      <c r="E61" s="30" t="s">
        <v>310</v>
      </c>
      <c r="F61" s="12" t="s">
        <v>4</v>
      </c>
      <c r="G61" s="12" t="s">
        <v>16</v>
      </c>
      <c r="H61" s="12"/>
      <c r="I61" s="9" t="s">
        <v>13</v>
      </c>
      <c r="J61" s="12">
        <v>4</v>
      </c>
      <c r="K61" s="8" t="s">
        <v>507</v>
      </c>
      <c r="L61" s="9" t="s">
        <v>258</v>
      </c>
      <c r="M61" s="160"/>
      <c r="N61" s="9" t="s">
        <v>258</v>
      </c>
      <c r="O61" s="9"/>
      <c r="P61" s="10"/>
      <c r="Q61" s="118">
        <f t="shared" si="4"/>
        <v>4</v>
      </c>
      <c r="R61" s="118" t="str">
        <f t="shared" si="5"/>
        <v/>
      </c>
      <c r="S61" s="122"/>
      <c r="T61" s="120"/>
      <c r="U61" s="120"/>
      <c r="V61" s="63"/>
      <c r="Z61" s="64"/>
    </row>
    <row r="62" spans="1:26" hidden="1" x14ac:dyDescent="0.3">
      <c r="A62" s="8">
        <v>148</v>
      </c>
      <c r="B62" s="8" t="s">
        <v>468</v>
      </c>
      <c r="C62" s="9" t="s">
        <v>8</v>
      </c>
      <c r="D62" s="10" t="s">
        <v>311</v>
      </c>
      <c r="E62" s="30" t="s">
        <v>312</v>
      </c>
      <c r="F62" s="12" t="s">
        <v>4</v>
      </c>
      <c r="G62" s="12" t="s">
        <v>16</v>
      </c>
      <c r="H62" s="12"/>
      <c r="I62" s="9" t="s">
        <v>13</v>
      </c>
      <c r="J62" s="12">
        <v>3</v>
      </c>
      <c r="K62" s="8" t="s">
        <v>507</v>
      </c>
      <c r="L62" s="9" t="s">
        <v>258</v>
      </c>
      <c r="M62" s="160"/>
      <c r="N62" s="9" t="s">
        <v>258</v>
      </c>
      <c r="O62" s="9"/>
      <c r="P62" s="10"/>
      <c r="Q62" s="118">
        <f t="shared" si="4"/>
        <v>3</v>
      </c>
      <c r="R62" s="118" t="str">
        <f t="shared" si="5"/>
        <v/>
      </c>
      <c r="S62" s="122"/>
      <c r="T62" s="120"/>
      <c r="U62" s="120"/>
      <c r="V62" s="63"/>
      <c r="Z62" s="64"/>
    </row>
    <row r="63" spans="1:26" hidden="1" x14ac:dyDescent="0.3">
      <c r="A63" s="8">
        <v>149</v>
      </c>
      <c r="B63" s="8" t="s">
        <v>468</v>
      </c>
      <c r="C63" s="9" t="s">
        <v>8</v>
      </c>
      <c r="D63" s="10" t="s">
        <v>313</v>
      </c>
      <c r="E63" s="30" t="s">
        <v>314</v>
      </c>
      <c r="F63" s="12" t="s">
        <v>4</v>
      </c>
      <c r="G63" s="12" t="s">
        <v>16</v>
      </c>
      <c r="H63" s="12"/>
      <c r="I63" s="9" t="s">
        <v>13</v>
      </c>
      <c r="J63" s="12">
        <v>4</v>
      </c>
      <c r="K63" s="8" t="s">
        <v>507</v>
      </c>
      <c r="L63" s="9" t="s">
        <v>258</v>
      </c>
      <c r="M63" s="160"/>
      <c r="N63" s="9" t="s">
        <v>258</v>
      </c>
      <c r="O63" s="9"/>
      <c r="P63" s="10"/>
      <c r="Q63" s="118">
        <f t="shared" si="4"/>
        <v>4</v>
      </c>
      <c r="R63" s="118" t="str">
        <f t="shared" si="5"/>
        <v/>
      </c>
      <c r="S63" s="122"/>
      <c r="T63" s="120"/>
      <c r="U63" s="120"/>
      <c r="V63" s="63"/>
      <c r="Z63" s="64"/>
    </row>
    <row r="64" spans="1:26" hidden="1" x14ac:dyDescent="0.3">
      <c r="A64" s="8">
        <v>150</v>
      </c>
      <c r="B64" s="8" t="s">
        <v>468</v>
      </c>
      <c r="C64" s="9" t="s">
        <v>8</v>
      </c>
      <c r="D64" s="10" t="s">
        <v>315</v>
      </c>
      <c r="E64" s="30" t="s">
        <v>316</v>
      </c>
      <c r="F64" s="12" t="s">
        <v>4</v>
      </c>
      <c r="G64" s="12" t="s">
        <v>16</v>
      </c>
      <c r="H64" s="12"/>
      <c r="I64" s="9" t="s">
        <v>13</v>
      </c>
      <c r="J64" s="12">
        <v>4</v>
      </c>
      <c r="K64" s="8" t="s">
        <v>507</v>
      </c>
      <c r="L64" s="9" t="s">
        <v>258</v>
      </c>
      <c r="M64" s="160"/>
      <c r="N64" s="9" t="s">
        <v>258</v>
      </c>
      <c r="O64" s="9"/>
      <c r="P64" s="10"/>
      <c r="Q64" s="118">
        <f t="shared" si="4"/>
        <v>4</v>
      </c>
      <c r="R64" s="118" t="str">
        <f t="shared" si="5"/>
        <v/>
      </c>
      <c r="S64" s="122"/>
      <c r="T64" s="120"/>
      <c r="U64" s="120"/>
      <c r="V64" s="63"/>
      <c r="Z64" s="64"/>
    </row>
    <row r="65" spans="1:26" hidden="1" x14ac:dyDescent="0.3">
      <c r="A65" s="8">
        <v>151</v>
      </c>
      <c r="B65" s="8" t="s">
        <v>468</v>
      </c>
      <c r="C65" s="9" t="s">
        <v>8</v>
      </c>
      <c r="D65" s="10" t="s">
        <v>317</v>
      </c>
      <c r="E65" s="30" t="s">
        <v>318</v>
      </c>
      <c r="F65" s="12" t="s">
        <v>4</v>
      </c>
      <c r="G65" s="12" t="s">
        <v>51</v>
      </c>
      <c r="H65" s="172" t="s">
        <v>505</v>
      </c>
      <c r="I65" s="9" t="s">
        <v>13</v>
      </c>
      <c r="J65" s="12">
        <v>4</v>
      </c>
      <c r="K65" s="8" t="s">
        <v>507</v>
      </c>
      <c r="L65" s="9" t="s">
        <v>258</v>
      </c>
      <c r="M65" s="160"/>
      <c r="N65" s="9" t="s">
        <v>258</v>
      </c>
      <c r="O65" s="9"/>
      <c r="P65" s="10"/>
      <c r="Q65" s="118">
        <f t="shared" si="4"/>
        <v>4</v>
      </c>
      <c r="R65" s="118" t="str">
        <f t="shared" si="5"/>
        <v/>
      </c>
      <c r="S65" s="122"/>
      <c r="T65" s="120"/>
      <c r="U65" s="120"/>
      <c r="V65" s="63"/>
      <c r="Z65" s="64"/>
    </row>
    <row r="66" spans="1:26" hidden="1" x14ac:dyDescent="0.3">
      <c r="A66" s="8">
        <v>152</v>
      </c>
      <c r="B66" s="8" t="s">
        <v>468</v>
      </c>
      <c r="C66" s="9" t="s">
        <v>8</v>
      </c>
      <c r="D66" s="10" t="s">
        <v>319</v>
      </c>
      <c r="E66" s="30" t="s">
        <v>320</v>
      </c>
      <c r="F66" s="12" t="s">
        <v>4</v>
      </c>
      <c r="G66" s="12" t="s">
        <v>51</v>
      </c>
      <c r="H66" s="172" t="s">
        <v>505</v>
      </c>
      <c r="I66" s="9" t="s">
        <v>13</v>
      </c>
      <c r="J66" s="12">
        <v>3</v>
      </c>
      <c r="K66" s="8" t="s">
        <v>507</v>
      </c>
      <c r="L66" s="9" t="s">
        <v>258</v>
      </c>
      <c r="M66" s="160"/>
      <c r="N66" s="9" t="s">
        <v>258</v>
      </c>
      <c r="O66" s="9"/>
      <c r="P66" s="10"/>
      <c r="Q66" s="118">
        <f t="shared" si="4"/>
        <v>3</v>
      </c>
      <c r="R66" s="118" t="str">
        <f t="shared" si="5"/>
        <v/>
      </c>
      <c r="S66" s="122"/>
      <c r="T66" s="120"/>
      <c r="U66" s="120"/>
      <c r="V66" s="63"/>
      <c r="Z66" s="64"/>
    </row>
    <row r="67" spans="1:26" hidden="1" x14ac:dyDescent="0.3">
      <c r="A67" s="8">
        <v>153</v>
      </c>
      <c r="B67" s="8" t="s">
        <v>468</v>
      </c>
      <c r="C67" s="9" t="s">
        <v>8</v>
      </c>
      <c r="D67" s="10" t="s">
        <v>321</v>
      </c>
      <c r="E67" s="30" t="s">
        <v>322</v>
      </c>
      <c r="F67" s="12" t="s">
        <v>4</v>
      </c>
      <c r="G67" s="12" t="s">
        <v>51</v>
      </c>
      <c r="H67" s="172" t="s">
        <v>505</v>
      </c>
      <c r="I67" s="9" t="s">
        <v>13</v>
      </c>
      <c r="J67" s="12">
        <v>4</v>
      </c>
      <c r="K67" s="8" t="s">
        <v>507</v>
      </c>
      <c r="L67" s="9" t="s">
        <v>258</v>
      </c>
      <c r="M67" s="160"/>
      <c r="N67" s="9" t="s">
        <v>258</v>
      </c>
      <c r="O67" s="9"/>
      <c r="P67" s="10"/>
      <c r="Q67" s="118">
        <f t="shared" si="4"/>
        <v>4</v>
      </c>
      <c r="R67" s="118" t="str">
        <f t="shared" si="5"/>
        <v/>
      </c>
      <c r="S67" s="122"/>
      <c r="T67" s="120"/>
      <c r="U67" s="120"/>
      <c r="V67" s="63"/>
      <c r="Z67" s="64"/>
    </row>
    <row r="68" spans="1:26" hidden="1" x14ac:dyDescent="0.3">
      <c r="A68" s="8">
        <v>154</v>
      </c>
      <c r="B68" s="8" t="s">
        <v>468</v>
      </c>
      <c r="C68" s="9" t="s">
        <v>8</v>
      </c>
      <c r="D68" s="10" t="s">
        <v>323</v>
      </c>
      <c r="E68" s="30" t="s">
        <v>324</v>
      </c>
      <c r="F68" s="12" t="s">
        <v>4</v>
      </c>
      <c r="G68" s="12" t="s">
        <v>51</v>
      </c>
      <c r="H68" s="172" t="s">
        <v>505</v>
      </c>
      <c r="I68" s="9" t="s">
        <v>13</v>
      </c>
      <c r="J68" s="12">
        <v>3</v>
      </c>
      <c r="K68" s="8" t="s">
        <v>507</v>
      </c>
      <c r="L68" s="9" t="s">
        <v>258</v>
      </c>
      <c r="M68" s="160"/>
      <c r="N68" s="9" t="s">
        <v>258</v>
      </c>
      <c r="O68" s="9"/>
      <c r="P68" s="10"/>
      <c r="Q68" s="118">
        <f t="shared" si="4"/>
        <v>3</v>
      </c>
      <c r="R68" s="118" t="str">
        <f t="shared" si="5"/>
        <v/>
      </c>
      <c r="S68" s="122"/>
      <c r="T68" s="120"/>
      <c r="U68" s="120"/>
      <c r="V68" s="63"/>
      <c r="Z68" s="64"/>
    </row>
    <row r="69" spans="1:26" hidden="1" x14ac:dyDescent="0.3">
      <c r="A69" s="8">
        <v>155</v>
      </c>
      <c r="B69" s="8" t="s">
        <v>468</v>
      </c>
      <c r="C69" s="9" t="s">
        <v>8</v>
      </c>
      <c r="D69" s="10" t="s">
        <v>325</v>
      </c>
      <c r="E69" s="30" t="s">
        <v>326</v>
      </c>
      <c r="F69" s="12" t="s">
        <v>4</v>
      </c>
      <c r="G69" s="12" t="s">
        <v>51</v>
      </c>
      <c r="H69" s="172" t="s">
        <v>505</v>
      </c>
      <c r="I69" s="9" t="s">
        <v>13</v>
      </c>
      <c r="J69" s="15">
        <v>3</v>
      </c>
      <c r="K69" s="8" t="s">
        <v>507</v>
      </c>
      <c r="L69" s="9" t="s">
        <v>258</v>
      </c>
      <c r="M69" s="160"/>
      <c r="N69" s="9" t="s">
        <v>258</v>
      </c>
      <c r="O69" s="9"/>
      <c r="P69" s="10"/>
      <c r="Q69" s="118">
        <f t="shared" si="4"/>
        <v>3</v>
      </c>
      <c r="R69" s="118" t="str">
        <f t="shared" si="5"/>
        <v/>
      </c>
      <c r="S69" s="122"/>
      <c r="T69" s="120"/>
      <c r="U69" s="120"/>
      <c r="V69" s="63"/>
      <c r="Z69" s="64"/>
    </row>
    <row r="70" spans="1:26" hidden="1" x14ac:dyDescent="0.3">
      <c r="A70" s="8">
        <v>156</v>
      </c>
      <c r="B70" s="8" t="s">
        <v>468</v>
      </c>
      <c r="C70" s="9" t="s">
        <v>8</v>
      </c>
      <c r="D70" s="10" t="s">
        <v>327</v>
      </c>
      <c r="E70" s="30" t="s">
        <v>328</v>
      </c>
      <c r="F70" s="12" t="s">
        <v>4</v>
      </c>
      <c r="G70" s="12" t="s">
        <v>51</v>
      </c>
      <c r="H70" s="172" t="s">
        <v>505</v>
      </c>
      <c r="I70" s="9" t="s">
        <v>13</v>
      </c>
      <c r="J70" s="15">
        <v>3</v>
      </c>
      <c r="K70" s="8" t="s">
        <v>507</v>
      </c>
      <c r="L70" s="9" t="s">
        <v>258</v>
      </c>
      <c r="M70" s="160"/>
      <c r="N70" s="9" t="s">
        <v>258</v>
      </c>
      <c r="O70" s="9"/>
      <c r="P70" s="10"/>
      <c r="Q70" s="118">
        <f t="shared" si="4"/>
        <v>3</v>
      </c>
      <c r="R70" s="118" t="str">
        <f t="shared" si="5"/>
        <v/>
      </c>
      <c r="S70" s="122"/>
      <c r="T70" s="120"/>
      <c r="U70" s="120"/>
      <c r="V70" s="63"/>
      <c r="Z70" s="64"/>
    </row>
    <row r="71" spans="1:26" hidden="1" x14ac:dyDescent="0.3">
      <c r="A71" s="8">
        <v>214</v>
      </c>
      <c r="B71" s="8" t="s">
        <v>468</v>
      </c>
      <c r="C71" s="9" t="s">
        <v>8</v>
      </c>
      <c r="D71" s="10" t="s">
        <v>444</v>
      </c>
      <c r="E71" s="30" t="s">
        <v>445</v>
      </c>
      <c r="F71" s="12" t="s">
        <v>4</v>
      </c>
      <c r="G71" s="12" t="s">
        <v>16</v>
      </c>
      <c r="H71" s="12"/>
      <c r="I71" s="9" t="s">
        <v>13</v>
      </c>
      <c r="J71" s="15">
        <v>4</v>
      </c>
      <c r="K71" s="70" t="s">
        <v>262</v>
      </c>
      <c r="L71" s="9" t="s">
        <v>258</v>
      </c>
      <c r="M71" s="164" t="s">
        <v>500</v>
      </c>
      <c r="N71" s="9" t="s">
        <v>258</v>
      </c>
      <c r="O71" s="9"/>
      <c r="Q71" s="118">
        <f t="shared" si="4"/>
        <v>4</v>
      </c>
      <c r="R71" s="118" t="str">
        <f t="shared" si="5"/>
        <v/>
      </c>
      <c r="S71" s="122"/>
      <c r="T71" s="120"/>
      <c r="U71" s="120"/>
      <c r="V71" s="63"/>
      <c r="Z71" s="64"/>
    </row>
    <row r="72" spans="1:26" hidden="1" x14ac:dyDescent="0.3">
      <c r="A72" s="8">
        <v>193</v>
      </c>
      <c r="B72" s="8" t="s">
        <v>468</v>
      </c>
      <c r="C72" s="9" t="s">
        <v>8</v>
      </c>
      <c r="D72" s="10" t="s">
        <v>384</v>
      </c>
      <c r="E72" s="30" t="s">
        <v>385</v>
      </c>
      <c r="F72" s="12" t="s">
        <v>4</v>
      </c>
      <c r="G72" s="12" t="s">
        <v>16</v>
      </c>
      <c r="H72" s="12"/>
      <c r="I72" s="9" t="s">
        <v>178</v>
      </c>
      <c r="J72" s="15">
        <v>3</v>
      </c>
      <c r="K72" s="68" t="s">
        <v>260</v>
      </c>
      <c r="L72" s="9" t="s">
        <v>258</v>
      </c>
      <c r="M72" s="160"/>
      <c r="N72" s="9" t="s">
        <v>258</v>
      </c>
      <c r="O72" s="9"/>
      <c r="Q72" s="118" t="str">
        <f t="shared" si="4"/>
        <v/>
      </c>
      <c r="R72" s="118">
        <f t="shared" si="5"/>
        <v>3</v>
      </c>
      <c r="S72" s="122"/>
      <c r="T72" s="120"/>
      <c r="U72" s="120"/>
      <c r="V72" s="63"/>
      <c r="Z72" s="64"/>
    </row>
    <row r="73" spans="1:26" hidden="1" x14ac:dyDescent="0.3">
      <c r="A73" s="8">
        <v>157</v>
      </c>
      <c r="B73" s="8" t="s">
        <v>468</v>
      </c>
      <c r="C73" s="9" t="s">
        <v>8</v>
      </c>
      <c r="D73" s="10" t="s">
        <v>329</v>
      </c>
      <c r="E73" s="30" t="s">
        <v>330</v>
      </c>
      <c r="F73" s="12" t="s">
        <v>4</v>
      </c>
      <c r="G73" s="12" t="s">
        <v>16</v>
      </c>
      <c r="H73" s="12"/>
      <c r="I73" s="9" t="s">
        <v>13</v>
      </c>
      <c r="J73" s="15">
        <v>6</v>
      </c>
      <c r="K73" s="8" t="s">
        <v>261</v>
      </c>
      <c r="L73" s="9" t="s">
        <v>258</v>
      </c>
      <c r="M73" s="160"/>
      <c r="N73" s="9" t="s">
        <v>258</v>
      </c>
      <c r="O73" s="9"/>
      <c r="P73" s="10"/>
      <c r="Q73" s="118">
        <f t="shared" si="4"/>
        <v>6</v>
      </c>
      <c r="R73" s="118" t="str">
        <f t="shared" si="5"/>
        <v/>
      </c>
      <c r="S73" s="122"/>
      <c r="T73" s="120"/>
      <c r="U73" s="120"/>
      <c r="V73" s="63"/>
      <c r="Z73" s="64"/>
    </row>
    <row r="74" spans="1:26" hidden="1" x14ac:dyDescent="0.3">
      <c r="A74" s="8">
        <v>158</v>
      </c>
      <c r="B74" s="8" t="s">
        <v>468</v>
      </c>
      <c r="C74" s="9" t="s">
        <v>8</v>
      </c>
      <c r="D74" s="10" t="s">
        <v>331</v>
      </c>
      <c r="E74" s="30" t="s">
        <v>332</v>
      </c>
      <c r="F74" s="12" t="s">
        <v>4</v>
      </c>
      <c r="G74" s="12" t="s">
        <v>51</v>
      </c>
      <c r="H74" s="12" t="s">
        <v>506</v>
      </c>
      <c r="I74" s="9" t="s">
        <v>13</v>
      </c>
      <c r="J74" s="15">
        <v>4</v>
      </c>
      <c r="K74" s="8" t="s">
        <v>261</v>
      </c>
      <c r="L74" s="9" t="s">
        <v>258</v>
      </c>
      <c r="M74" s="160"/>
      <c r="N74" s="9" t="s">
        <v>258</v>
      </c>
      <c r="O74" s="9"/>
      <c r="P74" s="10"/>
      <c r="Q74" s="118">
        <f t="shared" si="4"/>
        <v>4</v>
      </c>
      <c r="R74" s="118" t="str">
        <f t="shared" si="5"/>
        <v/>
      </c>
      <c r="S74" s="122"/>
      <c r="T74" s="120"/>
      <c r="U74" s="120"/>
      <c r="V74" s="63"/>
      <c r="Z74" s="64"/>
    </row>
    <row r="75" spans="1:26" hidden="1" x14ac:dyDescent="0.3">
      <c r="A75" s="8">
        <v>218</v>
      </c>
      <c r="B75" s="8" t="s">
        <v>468</v>
      </c>
      <c r="C75" s="9" t="s">
        <v>8</v>
      </c>
      <c r="D75" s="10" t="s">
        <v>456</v>
      </c>
      <c r="E75" s="30" t="s">
        <v>457</v>
      </c>
      <c r="F75" s="12" t="s">
        <v>4</v>
      </c>
      <c r="G75" s="12" t="s">
        <v>16</v>
      </c>
      <c r="H75" s="12" t="s">
        <v>502</v>
      </c>
      <c r="I75" s="9" t="s">
        <v>13</v>
      </c>
      <c r="J75" s="15">
        <v>3</v>
      </c>
      <c r="K75" s="70" t="s">
        <v>262</v>
      </c>
      <c r="L75" s="9" t="s">
        <v>258</v>
      </c>
      <c r="M75" s="164" t="s">
        <v>500</v>
      </c>
      <c r="N75" s="9" t="s">
        <v>258</v>
      </c>
      <c r="O75" s="9"/>
      <c r="Q75" s="118">
        <f t="shared" si="4"/>
        <v>3</v>
      </c>
      <c r="R75" s="118" t="str">
        <f t="shared" si="5"/>
        <v/>
      </c>
      <c r="S75" s="122"/>
      <c r="T75" s="120"/>
      <c r="U75" s="120"/>
      <c r="V75" s="63"/>
      <c r="Z75" s="64"/>
    </row>
    <row r="76" spans="1:26" hidden="1" x14ac:dyDescent="0.3">
      <c r="A76" s="8">
        <v>194</v>
      </c>
      <c r="B76" s="8" t="s">
        <v>468</v>
      </c>
      <c r="C76" s="9" t="s">
        <v>8</v>
      </c>
      <c r="D76" s="10" t="s">
        <v>387</v>
      </c>
      <c r="E76" s="30" t="s">
        <v>388</v>
      </c>
      <c r="F76" s="12" t="s">
        <v>4</v>
      </c>
      <c r="G76" s="12" t="s">
        <v>16</v>
      </c>
      <c r="H76" s="12" t="s">
        <v>502</v>
      </c>
      <c r="I76" s="9" t="s">
        <v>13</v>
      </c>
      <c r="J76" s="15">
        <v>3</v>
      </c>
      <c r="K76" s="70" t="s">
        <v>262</v>
      </c>
      <c r="L76" s="9" t="s">
        <v>258</v>
      </c>
      <c r="M76" s="164" t="s">
        <v>500</v>
      </c>
      <c r="N76" s="9" t="s">
        <v>258</v>
      </c>
      <c r="O76" s="9"/>
      <c r="Q76" s="118">
        <f t="shared" si="4"/>
        <v>3</v>
      </c>
      <c r="R76" s="118" t="str">
        <f t="shared" si="5"/>
        <v/>
      </c>
      <c r="S76" s="122"/>
      <c r="T76" s="120"/>
      <c r="U76" s="120"/>
      <c r="V76" s="63"/>
      <c r="Z76" s="64"/>
    </row>
    <row r="77" spans="1:26" hidden="1" x14ac:dyDescent="0.3">
      <c r="A77" s="8">
        <v>195</v>
      </c>
      <c r="B77" s="8" t="s">
        <v>468</v>
      </c>
      <c r="C77" s="9" t="s">
        <v>8</v>
      </c>
      <c r="D77" s="10" t="s">
        <v>390</v>
      </c>
      <c r="E77" s="30" t="s">
        <v>391</v>
      </c>
      <c r="F77" s="12" t="s">
        <v>4</v>
      </c>
      <c r="G77" s="12" t="s">
        <v>16</v>
      </c>
      <c r="H77" s="12"/>
      <c r="I77" s="23" t="s">
        <v>510</v>
      </c>
      <c r="J77" s="15">
        <v>4</v>
      </c>
      <c r="K77" s="22" t="s">
        <v>465</v>
      </c>
      <c r="L77" s="9" t="s">
        <v>258</v>
      </c>
      <c r="M77" s="163" t="s">
        <v>501</v>
      </c>
      <c r="N77" s="9" t="s">
        <v>258</v>
      </c>
      <c r="O77" s="9"/>
      <c r="Q77" s="118" t="str">
        <f t="shared" si="4"/>
        <v/>
      </c>
      <c r="R77" s="118">
        <f t="shared" si="5"/>
        <v>4</v>
      </c>
      <c r="S77" s="122"/>
      <c r="T77" s="120"/>
      <c r="U77" s="120"/>
      <c r="V77" s="63"/>
      <c r="Z77" s="64"/>
    </row>
    <row r="78" spans="1:26" hidden="1" x14ac:dyDescent="0.3">
      <c r="A78" s="8">
        <v>196</v>
      </c>
      <c r="B78" s="8" t="s">
        <v>468</v>
      </c>
      <c r="C78" s="9" t="s">
        <v>8</v>
      </c>
      <c r="D78" s="10" t="s">
        <v>393</v>
      </c>
      <c r="E78" s="30" t="s">
        <v>394</v>
      </c>
      <c r="F78" s="12" t="s">
        <v>4</v>
      </c>
      <c r="G78" s="12" t="s">
        <v>16</v>
      </c>
      <c r="H78" s="12"/>
      <c r="I78" s="23" t="s">
        <v>510</v>
      </c>
      <c r="J78" s="15">
        <v>4</v>
      </c>
      <c r="K78" s="22" t="s">
        <v>465</v>
      </c>
      <c r="L78" s="9" t="s">
        <v>258</v>
      </c>
      <c r="M78" s="163" t="s">
        <v>501</v>
      </c>
      <c r="N78" s="9" t="s">
        <v>258</v>
      </c>
      <c r="O78" s="9"/>
      <c r="Q78" s="118" t="str">
        <f t="shared" si="4"/>
        <v/>
      </c>
      <c r="R78" s="118">
        <f t="shared" si="5"/>
        <v>4</v>
      </c>
      <c r="S78" s="122"/>
      <c r="T78" s="120"/>
      <c r="U78" s="120"/>
      <c r="V78" s="63"/>
      <c r="Z78" s="64"/>
    </row>
    <row r="79" spans="1:26" x14ac:dyDescent="0.3">
      <c r="A79" s="8">
        <v>33</v>
      </c>
      <c r="B79" s="8" t="s">
        <v>467</v>
      </c>
      <c r="C79" s="9" t="s">
        <v>8</v>
      </c>
      <c r="D79" s="10" t="s">
        <v>78</v>
      </c>
      <c r="E79" s="30" t="s">
        <v>79</v>
      </c>
      <c r="F79" s="12" t="s">
        <v>4</v>
      </c>
      <c r="G79" s="12" t="s">
        <v>16</v>
      </c>
      <c r="H79" s="12"/>
      <c r="I79" s="9" t="s">
        <v>13</v>
      </c>
      <c r="J79" s="15">
        <v>5</v>
      </c>
      <c r="K79" s="175" t="s">
        <v>507</v>
      </c>
      <c r="L79" s="9" t="s">
        <v>258</v>
      </c>
      <c r="M79" s="160"/>
      <c r="N79" s="9" t="s">
        <v>258</v>
      </c>
      <c r="O79" s="9"/>
      <c r="P79" s="10"/>
      <c r="Q79" s="118" t="s">
        <v>472</v>
      </c>
      <c r="R79" s="118">
        <f>J79</f>
        <v>5</v>
      </c>
      <c r="S79" s="122" t="s">
        <v>478</v>
      </c>
      <c r="T79" s="120"/>
      <c r="U79" s="121"/>
    </row>
    <row r="80" spans="1:26" hidden="1" x14ac:dyDescent="0.3">
      <c r="A80" s="8">
        <v>215</v>
      </c>
      <c r="B80" s="8" t="s">
        <v>468</v>
      </c>
      <c r="C80" s="9" t="s">
        <v>8</v>
      </c>
      <c r="D80" s="10" t="s">
        <v>447</v>
      </c>
      <c r="E80" s="30" t="s">
        <v>448</v>
      </c>
      <c r="F80" s="12" t="s">
        <v>4</v>
      </c>
      <c r="G80" s="12" t="s">
        <v>16</v>
      </c>
      <c r="H80" s="12"/>
      <c r="I80" s="173" t="s">
        <v>511</v>
      </c>
      <c r="J80" s="15">
        <v>4</v>
      </c>
      <c r="K80" s="68" t="s">
        <v>260</v>
      </c>
      <c r="L80" s="9" t="s">
        <v>258</v>
      </c>
      <c r="M80" s="160"/>
      <c r="N80" s="9" t="s">
        <v>258</v>
      </c>
      <c r="O80" s="9"/>
      <c r="Q80" s="118" t="str">
        <f>IF(I80="SI",J80,"")</f>
        <v/>
      </c>
      <c r="R80" s="118">
        <f>IF(I80="SI","",J80)</f>
        <v>4</v>
      </c>
      <c r="S80" s="122"/>
      <c r="T80" s="120"/>
      <c r="U80" s="120"/>
      <c r="V80" s="63"/>
      <c r="Z80" s="64"/>
    </row>
    <row r="81" spans="1:26" x14ac:dyDescent="0.3">
      <c r="A81" s="8">
        <v>34</v>
      </c>
      <c r="B81" s="8" t="s">
        <v>467</v>
      </c>
      <c r="C81" s="9" t="s">
        <v>8</v>
      </c>
      <c r="D81" s="10" t="s">
        <v>80</v>
      </c>
      <c r="E81" s="30" t="s">
        <v>81</v>
      </c>
      <c r="F81" s="12" t="s">
        <v>4</v>
      </c>
      <c r="G81" s="12" t="s">
        <v>16</v>
      </c>
      <c r="H81" s="12"/>
      <c r="I81" s="9" t="s">
        <v>13</v>
      </c>
      <c r="J81" s="15">
        <v>4</v>
      </c>
      <c r="K81" s="175" t="s">
        <v>507</v>
      </c>
      <c r="L81" s="9" t="s">
        <v>258</v>
      </c>
      <c r="M81" s="160"/>
      <c r="N81" s="9" t="s">
        <v>258</v>
      </c>
      <c r="O81" s="9"/>
      <c r="P81" s="10"/>
      <c r="Q81" s="118" t="s">
        <v>472</v>
      </c>
      <c r="R81" s="118">
        <f>J81</f>
        <v>4</v>
      </c>
      <c r="S81" s="119" t="s">
        <v>474</v>
      </c>
      <c r="T81" s="120"/>
      <c r="U81" s="121"/>
    </row>
    <row r="82" spans="1:26" x14ac:dyDescent="0.3">
      <c r="A82" s="8">
        <v>89</v>
      </c>
      <c r="B82" s="8" t="s">
        <v>467</v>
      </c>
      <c r="C82" s="9" t="s">
        <v>8</v>
      </c>
      <c r="D82" s="10" t="s">
        <v>182</v>
      </c>
      <c r="E82" s="30" t="s">
        <v>183</v>
      </c>
      <c r="F82" s="12" t="s">
        <v>4</v>
      </c>
      <c r="G82" s="12" t="s">
        <v>16</v>
      </c>
      <c r="H82" s="12"/>
      <c r="I82" s="9" t="s">
        <v>13</v>
      </c>
      <c r="J82" s="15">
        <v>4</v>
      </c>
      <c r="K82" s="70" t="s">
        <v>262</v>
      </c>
      <c r="L82" s="9" t="s">
        <v>258</v>
      </c>
      <c r="M82" s="164" t="s">
        <v>500</v>
      </c>
      <c r="N82" s="9" t="s">
        <v>258</v>
      </c>
      <c r="O82" s="9"/>
      <c r="Q82" s="118">
        <f>IF(I82="SI",J82,"")</f>
        <v>4</v>
      </c>
      <c r="R82" s="118" t="str">
        <f>IF(I82="SI","",J82)</f>
        <v/>
      </c>
      <c r="S82" s="122"/>
      <c r="T82" s="120"/>
      <c r="U82" s="126"/>
    </row>
    <row r="83" spans="1:26" x14ac:dyDescent="0.3">
      <c r="A83" s="8">
        <v>35</v>
      </c>
      <c r="B83" s="8" t="s">
        <v>467</v>
      </c>
      <c r="C83" s="9" t="s">
        <v>8</v>
      </c>
      <c r="D83" s="10" t="s">
        <v>82</v>
      </c>
      <c r="E83" s="11" t="s">
        <v>83</v>
      </c>
      <c r="F83" s="12" t="s">
        <v>4</v>
      </c>
      <c r="G83" s="12" t="s">
        <v>51</v>
      </c>
      <c r="H83" s="172" t="s">
        <v>505</v>
      </c>
      <c r="I83" s="9" t="s">
        <v>13</v>
      </c>
      <c r="J83" s="12">
        <v>4</v>
      </c>
      <c r="K83" s="8" t="s">
        <v>507</v>
      </c>
      <c r="L83" s="9" t="s">
        <v>258</v>
      </c>
      <c r="M83" s="160"/>
      <c r="N83" s="9" t="s">
        <v>258</v>
      </c>
      <c r="O83" s="9"/>
      <c r="P83" s="10"/>
      <c r="Q83" s="118">
        <f>IF(I83="SI",J83,"")</f>
        <v>4</v>
      </c>
      <c r="R83" s="118" t="str">
        <f>IF(I83="SI","",J83)</f>
        <v/>
      </c>
      <c r="S83" s="122"/>
      <c r="T83" s="120"/>
      <c r="U83" s="121"/>
    </row>
    <row r="84" spans="1:26" x14ac:dyDescent="0.3">
      <c r="A84" s="8">
        <v>36</v>
      </c>
      <c r="B84" s="8" t="s">
        <v>467</v>
      </c>
      <c r="C84" s="9" t="s">
        <v>8</v>
      </c>
      <c r="D84" s="10" t="s">
        <v>85</v>
      </c>
      <c r="E84" s="11" t="s">
        <v>86</v>
      </c>
      <c r="F84" s="12" t="s">
        <v>4</v>
      </c>
      <c r="G84" s="12" t="s">
        <v>51</v>
      </c>
      <c r="H84" s="172" t="s">
        <v>505</v>
      </c>
      <c r="I84" s="9" t="s">
        <v>13</v>
      </c>
      <c r="J84" s="180">
        <v>4</v>
      </c>
      <c r="K84" s="8" t="s">
        <v>507</v>
      </c>
      <c r="L84" s="9" t="s">
        <v>258</v>
      </c>
      <c r="M84" s="160"/>
      <c r="N84" s="9" t="s">
        <v>258</v>
      </c>
      <c r="O84" s="9"/>
      <c r="P84" s="10"/>
      <c r="Q84" s="118">
        <f>IF(I84="SI",J84,"")</f>
        <v>4</v>
      </c>
      <c r="R84" s="118" t="str">
        <f>IF(I84="SI","",J84)</f>
        <v/>
      </c>
      <c r="S84" s="122"/>
      <c r="T84" s="120"/>
      <c r="U84" s="121"/>
    </row>
    <row r="85" spans="1:26" x14ac:dyDescent="0.3">
      <c r="A85" s="8">
        <v>37</v>
      </c>
      <c r="B85" s="8" t="s">
        <v>467</v>
      </c>
      <c r="C85" s="9" t="s">
        <v>8</v>
      </c>
      <c r="D85" s="10" t="s">
        <v>87</v>
      </c>
      <c r="E85" s="11" t="s">
        <v>88</v>
      </c>
      <c r="F85" s="12" t="s">
        <v>4</v>
      </c>
      <c r="G85" s="12" t="s">
        <v>51</v>
      </c>
      <c r="H85" s="172" t="s">
        <v>505</v>
      </c>
      <c r="I85" s="9" t="s">
        <v>13</v>
      </c>
      <c r="J85" s="12">
        <v>3</v>
      </c>
      <c r="K85" s="8" t="s">
        <v>507</v>
      </c>
      <c r="L85" s="9" t="s">
        <v>258</v>
      </c>
      <c r="M85" s="160"/>
      <c r="N85" s="9" t="s">
        <v>258</v>
      </c>
      <c r="O85" s="9"/>
      <c r="P85" s="10"/>
      <c r="Q85" s="118">
        <f>IF(I85="SI",J85,"")</f>
        <v>3</v>
      </c>
      <c r="R85" s="118" t="str">
        <f>IF(I85="SI","",J85)</f>
        <v/>
      </c>
      <c r="S85" s="122"/>
      <c r="T85" s="120"/>
      <c r="U85" s="121"/>
    </row>
    <row r="86" spans="1:26" x14ac:dyDescent="0.3">
      <c r="A86" s="8">
        <v>38</v>
      </c>
      <c r="B86" s="8" t="s">
        <v>467</v>
      </c>
      <c r="C86" s="9" t="s">
        <v>8</v>
      </c>
      <c r="D86" s="10" t="s">
        <v>89</v>
      </c>
      <c r="E86" s="11" t="s">
        <v>90</v>
      </c>
      <c r="F86" s="12" t="s">
        <v>4</v>
      </c>
      <c r="G86" s="12" t="s">
        <v>51</v>
      </c>
      <c r="H86" s="172" t="s">
        <v>505</v>
      </c>
      <c r="I86" s="9" t="s">
        <v>13</v>
      </c>
      <c r="J86" s="12">
        <v>3</v>
      </c>
      <c r="K86" s="175" t="s">
        <v>507</v>
      </c>
      <c r="L86" s="9" t="s">
        <v>258</v>
      </c>
      <c r="M86" s="160"/>
      <c r="N86" s="9" t="s">
        <v>258</v>
      </c>
      <c r="O86" s="9"/>
      <c r="P86" s="10"/>
      <c r="Q86" s="118">
        <f>IF(I86="SI",J86,"")</f>
        <v>3</v>
      </c>
      <c r="R86" s="118" t="str">
        <f>IF(I86="SI","",J86)</f>
        <v/>
      </c>
      <c r="S86" s="122"/>
      <c r="T86" s="120"/>
      <c r="U86" s="121"/>
    </row>
    <row r="87" spans="1:26" x14ac:dyDescent="0.3">
      <c r="A87" s="8">
        <v>39</v>
      </c>
      <c r="B87" s="8" t="s">
        <v>467</v>
      </c>
      <c r="C87" s="9" t="s">
        <v>8</v>
      </c>
      <c r="D87" s="10" t="s">
        <v>91</v>
      </c>
      <c r="E87" s="11" t="s">
        <v>92</v>
      </c>
      <c r="F87" s="12" t="s">
        <v>4</v>
      </c>
      <c r="G87" s="12" t="s">
        <v>51</v>
      </c>
      <c r="H87" s="172" t="s">
        <v>505</v>
      </c>
      <c r="I87" s="9" t="s">
        <v>13</v>
      </c>
      <c r="J87" s="12">
        <v>5</v>
      </c>
      <c r="K87" s="175" t="s">
        <v>507</v>
      </c>
      <c r="L87" s="9" t="s">
        <v>258</v>
      </c>
      <c r="M87" s="160"/>
      <c r="N87" s="9" t="s">
        <v>258</v>
      </c>
      <c r="O87" s="9"/>
      <c r="P87" s="170" t="s">
        <v>508</v>
      </c>
      <c r="Q87" s="124" t="s">
        <v>472</v>
      </c>
      <c r="R87" s="124">
        <f>J87</f>
        <v>5</v>
      </c>
      <c r="S87" s="169" t="s">
        <v>474</v>
      </c>
      <c r="T87" s="120"/>
      <c r="U87" s="121"/>
    </row>
    <row r="88" spans="1:26" x14ac:dyDescent="0.3">
      <c r="A88" s="8">
        <v>40</v>
      </c>
      <c r="B88" s="8" t="s">
        <v>467</v>
      </c>
      <c r="C88" s="9" t="s">
        <v>8</v>
      </c>
      <c r="D88" s="10" t="s">
        <v>93</v>
      </c>
      <c r="E88" s="11" t="s">
        <v>94</v>
      </c>
      <c r="F88" s="12" t="s">
        <v>4</v>
      </c>
      <c r="G88" s="12" t="s">
        <v>51</v>
      </c>
      <c r="H88" s="172" t="s">
        <v>505</v>
      </c>
      <c r="I88" s="9" t="s">
        <v>13</v>
      </c>
      <c r="J88" s="12">
        <v>4</v>
      </c>
      <c r="K88" s="8" t="s">
        <v>261</v>
      </c>
      <c r="L88" s="9" t="s">
        <v>258</v>
      </c>
      <c r="M88" s="160"/>
      <c r="N88" s="9" t="s">
        <v>258</v>
      </c>
      <c r="O88" s="9"/>
      <c r="P88" s="10"/>
      <c r="Q88" s="118" t="s">
        <v>472</v>
      </c>
      <c r="R88" s="118">
        <f>J88</f>
        <v>4</v>
      </c>
      <c r="S88" s="122" t="s">
        <v>473</v>
      </c>
      <c r="T88" s="120"/>
      <c r="U88" s="121"/>
    </row>
    <row r="89" spans="1:26" x14ac:dyDescent="0.3">
      <c r="A89" s="8">
        <v>43</v>
      </c>
      <c r="B89" s="8" t="s">
        <v>467</v>
      </c>
      <c r="C89" s="9" t="s">
        <v>8</v>
      </c>
      <c r="D89" s="10" t="s">
        <v>99</v>
      </c>
      <c r="E89" s="11" t="s">
        <v>100</v>
      </c>
      <c r="F89" s="12" t="s">
        <v>4</v>
      </c>
      <c r="G89" s="12" t="s">
        <v>51</v>
      </c>
      <c r="H89" s="172" t="s">
        <v>505</v>
      </c>
      <c r="I89" s="9" t="s">
        <v>13</v>
      </c>
      <c r="J89" s="12">
        <v>5</v>
      </c>
      <c r="K89" s="8" t="s">
        <v>261</v>
      </c>
      <c r="L89" s="9" t="s">
        <v>258</v>
      </c>
      <c r="M89" s="160"/>
      <c r="N89" s="9" t="s">
        <v>258</v>
      </c>
      <c r="O89" s="9"/>
      <c r="P89" s="170" t="s">
        <v>509</v>
      </c>
      <c r="Q89" s="124" t="s">
        <v>472</v>
      </c>
      <c r="R89" s="124">
        <f>J89</f>
        <v>5</v>
      </c>
      <c r="S89" s="171" t="s">
        <v>489</v>
      </c>
      <c r="T89" s="120"/>
      <c r="U89" s="121"/>
    </row>
    <row r="90" spans="1:26" x14ac:dyDescent="0.3">
      <c r="A90" s="8">
        <v>41</v>
      </c>
      <c r="B90" s="8" t="s">
        <v>467</v>
      </c>
      <c r="C90" s="9" t="s">
        <v>8</v>
      </c>
      <c r="D90" s="10" t="s">
        <v>95</v>
      </c>
      <c r="E90" s="11" t="s">
        <v>96</v>
      </c>
      <c r="F90" s="12" t="s">
        <v>4</v>
      </c>
      <c r="G90" s="12" t="s">
        <v>51</v>
      </c>
      <c r="H90" s="172" t="s">
        <v>505</v>
      </c>
      <c r="I90" s="9" t="s">
        <v>13</v>
      </c>
      <c r="J90" s="12">
        <v>4</v>
      </c>
      <c r="K90" s="175" t="s">
        <v>507</v>
      </c>
      <c r="L90" s="9" t="s">
        <v>258</v>
      </c>
      <c r="M90" s="160"/>
      <c r="N90" s="9" t="s">
        <v>258</v>
      </c>
      <c r="O90" s="9"/>
      <c r="P90" s="10"/>
      <c r="Q90" s="118" t="s">
        <v>472</v>
      </c>
      <c r="R90" s="118">
        <f>J90</f>
        <v>4</v>
      </c>
      <c r="S90" s="122" t="s">
        <v>479</v>
      </c>
      <c r="T90" s="120"/>
      <c r="U90" s="121"/>
    </row>
    <row r="91" spans="1:26" x14ac:dyDescent="0.3">
      <c r="A91" s="8">
        <v>42</v>
      </c>
      <c r="B91" s="8" t="s">
        <v>467</v>
      </c>
      <c r="C91" s="9" t="s">
        <v>8</v>
      </c>
      <c r="D91" s="10" t="s">
        <v>97</v>
      </c>
      <c r="E91" s="11" t="s">
        <v>98</v>
      </c>
      <c r="F91" s="12" t="s">
        <v>4</v>
      </c>
      <c r="G91" s="12" t="s">
        <v>51</v>
      </c>
      <c r="H91" s="172" t="s">
        <v>505</v>
      </c>
      <c r="I91" s="9" t="s">
        <v>13</v>
      </c>
      <c r="J91" s="12">
        <v>4</v>
      </c>
      <c r="K91" s="175" t="s">
        <v>507</v>
      </c>
      <c r="L91" s="9" t="s">
        <v>258</v>
      </c>
      <c r="M91" s="160"/>
      <c r="N91" s="9" t="s">
        <v>258</v>
      </c>
      <c r="O91" s="9"/>
      <c r="P91" s="10"/>
      <c r="Q91" s="118" t="s">
        <v>472</v>
      </c>
      <c r="R91" s="118">
        <f>J91</f>
        <v>4</v>
      </c>
      <c r="S91" s="123" t="s">
        <v>485</v>
      </c>
      <c r="T91" s="120"/>
      <c r="U91" s="121"/>
    </row>
    <row r="92" spans="1:26" x14ac:dyDescent="0.3">
      <c r="A92" s="8">
        <v>44</v>
      </c>
      <c r="B92" s="8" t="s">
        <v>467</v>
      </c>
      <c r="C92" s="9" t="s">
        <v>8</v>
      </c>
      <c r="D92" s="10" t="s">
        <v>101</v>
      </c>
      <c r="E92" s="11" t="s">
        <v>102</v>
      </c>
      <c r="F92" s="12" t="s">
        <v>4</v>
      </c>
      <c r="G92" s="12" t="s">
        <v>51</v>
      </c>
      <c r="H92" s="172" t="s">
        <v>505</v>
      </c>
      <c r="I92" s="9" t="s">
        <v>13</v>
      </c>
      <c r="J92" s="12">
        <v>4</v>
      </c>
      <c r="K92" s="8" t="s">
        <v>261</v>
      </c>
      <c r="L92" s="9" t="s">
        <v>258</v>
      </c>
      <c r="M92" s="160"/>
      <c r="N92" s="9" t="s">
        <v>258</v>
      </c>
      <c r="O92" s="9"/>
      <c r="P92" s="10"/>
      <c r="Q92" s="124">
        <v>2</v>
      </c>
      <c r="R92" s="124">
        <v>2</v>
      </c>
      <c r="S92" s="119" t="s">
        <v>482</v>
      </c>
      <c r="T92" s="120"/>
      <c r="U92" s="121"/>
    </row>
    <row r="93" spans="1:26" x14ac:dyDescent="0.3">
      <c r="A93" s="8">
        <v>45</v>
      </c>
      <c r="B93" s="8" t="s">
        <v>467</v>
      </c>
      <c r="C93" s="9" t="s">
        <v>8</v>
      </c>
      <c r="D93" s="10" t="s">
        <v>103</v>
      </c>
      <c r="E93" s="11" t="s">
        <v>104</v>
      </c>
      <c r="F93" s="12" t="s">
        <v>4</v>
      </c>
      <c r="G93" s="12" t="s">
        <v>51</v>
      </c>
      <c r="H93" s="172" t="s">
        <v>505</v>
      </c>
      <c r="I93" s="9" t="s">
        <v>13</v>
      </c>
      <c r="J93" s="12">
        <v>3</v>
      </c>
      <c r="K93" s="8" t="s">
        <v>261</v>
      </c>
      <c r="L93" s="9" t="s">
        <v>258</v>
      </c>
      <c r="M93" s="160"/>
      <c r="N93" s="9" t="s">
        <v>258</v>
      </c>
      <c r="O93" s="9"/>
      <c r="P93" s="10"/>
      <c r="Q93" s="118">
        <f>IF(I93="SI",J93,"")</f>
        <v>3</v>
      </c>
      <c r="R93" s="118" t="str">
        <f>IF(I93="SI","",J93)</f>
        <v/>
      </c>
      <c r="S93" s="122"/>
      <c r="T93" s="120"/>
      <c r="U93" s="121"/>
    </row>
    <row r="94" spans="1:26" x14ac:dyDescent="0.3">
      <c r="A94" s="8">
        <v>46</v>
      </c>
      <c r="B94" s="8" t="s">
        <v>467</v>
      </c>
      <c r="C94" s="9" t="s">
        <v>8</v>
      </c>
      <c r="D94" s="10" t="s">
        <v>105</v>
      </c>
      <c r="E94" s="11" t="s">
        <v>106</v>
      </c>
      <c r="F94" s="12" t="s">
        <v>4</v>
      </c>
      <c r="G94" s="12" t="s">
        <v>51</v>
      </c>
      <c r="H94" s="172" t="s">
        <v>505</v>
      </c>
      <c r="I94" s="9" t="s">
        <v>13</v>
      </c>
      <c r="J94" s="12">
        <v>4</v>
      </c>
      <c r="K94" s="8" t="s">
        <v>261</v>
      </c>
      <c r="L94" s="9" t="s">
        <v>258</v>
      </c>
      <c r="M94" s="160"/>
      <c r="N94" s="9" t="s">
        <v>258</v>
      </c>
      <c r="O94" s="9"/>
      <c r="P94" s="110" t="s">
        <v>486</v>
      </c>
      <c r="Q94" s="118" t="s">
        <v>472</v>
      </c>
      <c r="R94" s="118">
        <f>J94</f>
        <v>4</v>
      </c>
      <c r="S94" s="122" t="s">
        <v>476</v>
      </c>
      <c r="T94" s="120"/>
      <c r="U94" s="121"/>
    </row>
    <row r="95" spans="1:26" x14ac:dyDescent="0.3">
      <c r="A95" s="8">
        <v>47</v>
      </c>
      <c r="B95" s="8" t="s">
        <v>467</v>
      </c>
      <c r="C95" s="9" t="s">
        <v>8</v>
      </c>
      <c r="D95" s="10" t="s">
        <v>107</v>
      </c>
      <c r="E95" s="11" t="s">
        <v>108</v>
      </c>
      <c r="F95" s="12" t="s">
        <v>4</v>
      </c>
      <c r="G95" s="12" t="s">
        <v>51</v>
      </c>
      <c r="H95" s="172" t="s">
        <v>505</v>
      </c>
      <c r="I95" s="9" t="s">
        <v>13</v>
      </c>
      <c r="J95" s="12">
        <v>6</v>
      </c>
      <c r="K95" s="8" t="s">
        <v>261</v>
      </c>
      <c r="L95" s="9" t="s">
        <v>258</v>
      </c>
      <c r="M95" s="160"/>
      <c r="N95" s="9" t="s">
        <v>258</v>
      </c>
      <c r="O95" s="9"/>
      <c r="P95" s="10"/>
      <c r="Q95" s="118" t="s">
        <v>472</v>
      </c>
      <c r="R95" s="118">
        <f>J95</f>
        <v>6</v>
      </c>
      <c r="S95" s="125" t="s">
        <v>481</v>
      </c>
      <c r="T95" s="120"/>
      <c r="U95" s="121"/>
    </row>
    <row r="96" spans="1:26" hidden="1" x14ac:dyDescent="0.3">
      <c r="A96" s="8">
        <v>197</v>
      </c>
      <c r="B96" s="8" t="s">
        <v>468</v>
      </c>
      <c r="C96" s="9" t="s">
        <v>8</v>
      </c>
      <c r="D96" s="10" t="s">
        <v>397</v>
      </c>
      <c r="E96" s="11" t="s">
        <v>398</v>
      </c>
      <c r="F96" s="12" t="s">
        <v>4</v>
      </c>
      <c r="G96" s="12" t="s">
        <v>16</v>
      </c>
      <c r="H96" s="12" t="s">
        <v>502</v>
      </c>
      <c r="I96" s="173" t="s">
        <v>511</v>
      </c>
      <c r="J96" s="12">
        <v>4</v>
      </c>
      <c r="K96" s="22" t="s">
        <v>465</v>
      </c>
      <c r="L96" s="9" t="s">
        <v>258</v>
      </c>
      <c r="M96" s="163" t="s">
        <v>501</v>
      </c>
      <c r="N96" s="9" t="s">
        <v>258</v>
      </c>
      <c r="O96" s="9"/>
      <c r="Q96" s="118" t="str">
        <f>IF(I96="SI",J96,"")</f>
        <v/>
      </c>
      <c r="R96" s="118">
        <f>IF(I96="SI","",J96)</f>
        <v>4</v>
      </c>
      <c r="S96" s="122"/>
      <c r="T96" s="120"/>
      <c r="U96" s="120"/>
      <c r="V96" s="63"/>
      <c r="Z96" s="64"/>
    </row>
    <row r="97" spans="1:26" hidden="1" x14ac:dyDescent="0.3">
      <c r="A97" s="8">
        <v>198</v>
      </c>
      <c r="B97" s="8" t="s">
        <v>468</v>
      </c>
      <c r="C97" s="9" t="s">
        <v>8</v>
      </c>
      <c r="D97" s="10" t="s">
        <v>400</v>
      </c>
      <c r="E97" s="11" t="s">
        <v>401</v>
      </c>
      <c r="F97" s="12" t="s">
        <v>4</v>
      </c>
      <c r="G97" s="12" t="s">
        <v>16</v>
      </c>
      <c r="H97" s="12" t="s">
        <v>502</v>
      </c>
      <c r="I97" s="173" t="s">
        <v>511</v>
      </c>
      <c r="J97" s="12">
        <v>3</v>
      </c>
      <c r="K97" s="22" t="s">
        <v>465</v>
      </c>
      <c r="L97" s="9" t="s">
        <v>258</v>
      </c>
      <c r="M97" s="163" t="s">
        <v>501</v>
      </c>
      <c r="N97" s="9" t="s">
        <v>258</v>
      </c>
      <c r="O97" s="9"/>
      <c r="Q97" s="118" t="str">
        <f>IF(I97="SI",J97,"")</f>
        <v/>
      </c>
      <c r="R97" s="118">
        <f>IF(I97="SI","",J97)</f>
        <v>3</v>
      </c>
      <c r="S97" s="122"/>
      <c r="T97" s="120"/>
      <c r="U97" s="120"/>
      <c r="V97" s="63"/>
      <c r="Z97" s="64"/>
    </row>
    <row r="98" spans="1:26" hidden="1" x14ac:dyDescent="0.3">
      <c r="A98" s="8">
        <v>159</v>
      </c>
      <c r="B98" s="8" t="s">
        <v>468</v>
      </c>
      <c r="C98" s="9" t="s">
        <v>8</v>
      </c>
      <c r="D98" s="10" t="s">
        <v>333</v>
      </c>
      <c r="E98" s="11" t="s">
        <v>334</v>
      </c>
      <c r="F98" s="12" t="s">
        <v>4</v>
      </c>
      <c r="G98" s="12" t="s">
        <v>16</v>
      </c>
      <c r="H98" s="12" t="s">
        <v>502</v>
      </c>
      <c r="I98" s="9" t="s">
        <v>13</v>
      </c>
      <c r="J98" s="12">
        <v>3</v>
      </c>
      <c r="K98" s="8" t="s">
        <v>261</v>
      </c>
      <c r="L98" s="9" t="s">
        <v>258</v>
      </c>
      <c r="M98" s="160"/>
      <c r="N98" s="9" t="s">
        <v>258</v>
      </c>
      <c r="O98" s="9"/>
      <c r="P98" s="10"/>
      <c r="Q98" s="118">
        <f>IF(I98="SI",J98,"")</f>
        <v>3</v>
      </c>
      <c r="R98" s="118" t="str">
        <f>IF(I98="SI","",J98)</f>
        <v/>
      </c>
      <c r="S98" s="122"/>
      <c r="T98" s="120"/>
      <c r="U98" s="120"/>
      <c r="V98" s="63"/>
      <c r="Z98" s="64"/>
    </row>
    <row r="99" spans="1:26" hidden="1" x14ac:dyDescent="0.3">
      <c r="A99" s="8">
        <v>217</v>
      </c>
      <c r="B99" s="8" t="s">
        <v>468</v>
      </c>
      <c r="C99" s="9" t="s">
        <v>8</v>
      </c>
      <c r="D99" s="10" t="s">
        <v>453</v>
      </c>
      <c r="E99" s="11" t="s">
        <v>454</v>
      </c>
      <c r="F99" s="12" t="s">
        <v>4</v>
      </c>
      <c r="G99" s="12" t="s">
        <v>16</v>
      </c>
      <c r="H99" s="12" t="s">
        <v>502</v>
      </c>
      <c r="I99" s="173" t="s">
        <v>511</v>
      </c>
      <c r="J99" s="12">
        <v>2</v>
      </c>
      <c r="K99" s="22" t="s">
        <v>465</v>
      </c>
      <c r="L99" s="9" t="s">
        <v>258</v>
      </c>
      <c r="M99" s="163" t="s">
        <v>501</v>
      </c>
      <c r="N99" s="9" t="s">
        <v>258</v>
      </c>
      <c r="O99" s="9"/>
      <c r="Q99" s="118" t="str">
        <f>IF(I99="SI",J99,"")</f>
        <v/>
      </c>
      <c r="R99" s="118">
        <f>IF(I99="SI","",J99)</f>
        <v>2</v>
      </c>
      <c r="S99" s="122"/>
      <c r="T99" s="120"/>
      <c r="U99" s="120"/>
      <c r="V99" s="63"/>
      <c r="Z99" s="64"/>
    </row>
    <row r="100" spans="1:26" x14ac:dyDescent="0.3">
      <c r="A100" s="8">
        <v>48</v>
      </c>
      <c r="B100" s="8" t="s">
        <v>467</v>
      </c>
      <c r="C100" s="9" t="s">
        <v>8</v>
      </c>
      <c r="D100" s="10" t="s">
        <v>109</v>
      </c>
      <c r="E100" s="11" t="s">
        <v>110</v>
      </c>
      <c r="F100" s="12" t="s">
        <v>4</v>
      </c>
      <c r="G100" s="12" t="s">
        <v>51</v>
      </c>
      <c r="H100" s="12" t="s">
        <v>506</v>
      </c>
      <c r="I100" s="9" t="s">
        <v>13</v>
      </c>
      <c r="J100" s="12">
        <v>3</v>
      </c>
      <c r="K100" s="8" t="s">
        <v>261</v>
      </c>
      <c r="L100" s="9" t="s">
        <v>258</v>
      </c>
      <c r="M100" s="160"/>
      <c r="N100" s="9" t="s">
        <v>258</v>
      </c>
      <c r="O100" s="9"/>
      <c r="P100" s="10"/>
      <c r="Q100" s="118">
        <f>IF(I100="SI",J100,"")</f>
        <v>3</v>
      </c>
      <c r="R100" s="118" t="str">
        <f>IF(I100="SI","",J100)</f>
        <v/>
      </c>
      <c r="S100" s="122"/>
      <c r="T100" s="120"/>
      <c r="U100" s="121"/>
    </row>
    <row r="101" spans="1:26" x14ac:dyDescent="0.3">
      <c r="A101" s="8">
        <v>49</v>
      </c>
      <c r="B101" s="8" t="s">
        <v>467</v>
      </c>
      <c r="C101" s="9" t="s">
        <v>8</v>
      </c>
      <c r="D101" s="10" t="s">
        <v>111</v>
      </c>
      <c r="E101" s="11" t="s">
        <v>112</v>
      </c>
      <c r="F101" s="12" t="s">
        <v>4</v>
      </c>
      <c r="G101" s="12" t="s">
        <v>51</v>
      </c>
      <c r="H101" s="12" t="s">
        <v>506</v>
      </c>
      <c r="I101" s="9" t="s">
        <v>13</v>
      </c>
      <c r="J101" s="12">
        <v>4</v>
      </c>
      <c r="K101" s="8" t="s">
        <v>261</v>
      </c>
      <c r="L101" s="9" t="s">
        <v>258</v>
      </c>
      <c r="M101" s="160"/>
      <c r="N101" s="9" t="s">
        <v>258</v>
      </c>
      <c r="O101" s="9"/>
      <c r="P101" s="10"/>
      <c r="Q101" s="118" t="s">
        <v>472</v>
      </c>
      <c r="R101" s="118">
        <f>J101</f>
        <v>4</v>
      </c>
      <c r="S101" s="123" t="s">
        <v>485</v>
      </c>
      <c r="T101" s="120"/>
      <c r="U101" s="121"/>
    </row>
    <row r="102" spans="1:26" x14ac:dyDescent="0.3">
      <c r="A102" s="8">
        <v>50</v>
      </c>
      <c r="B102" s="8" t="s">
        <v>467</v>
      </c>
      <c r="C102" s="9" t="s">
        <v>8</v>
      </c>
      <c r="D102" s="10" t="s">
        <v>113</v>
      </c>
      <c r="E102" s="11" t="s">
        <v>114</v>
      </c>
      <c r="F102" s="12" t="s">
        <v>4</v>
      </c>
      <c r="G102" s="12" t="s">
        <v>51</v>
      </c>
      <c r="H102" s="12" t="s">
        <v>506</v>
      </c>
      <c r="I102" s="9" t="s">
        <v>13</v>
      </c>
      <c r="J102" s="12">
        <v>3</v>
      </c>
      <c r="K102" s="8" t="s">
        <v>261</v>
      </c>
      <c r="L102" s="9" t="s">
        <v>258</v>
      </c>
      <c r="M102" s="160"/>
      <c r="N102" s="9" t="s">
        <v>258</v>
      </c>
      <c r="O102" s="9"/>
      <c r="P102" s="10"/>
      <c r="Q102" s="118" t="s">
        <v>472</v>
      </c>
      <c r="R102" s="118">
        <f>J102</f>
        <v>3</v>
      </c>
      <c r="S102" s="122" t="s">
        <v>483</v>
      </c>
      <c r="T102" s="120"/>
      <c r="U102" s="121"/>
    </row>
    <row r="103" spans="1:26" x14ac:dyDescent="0.3">
      <c r="A103" s="8">
        <v>51</v>
      </c>
      <c r="B103" s="8" t="s">
        <v>467</v>
      </c>
      <c r="C103" s="9" t="s">
        <v>8</v>
      </c>
      <c r="D103" s="10" t="s">
        <v>115</v>
      </c>
      <c r="E103" s="11" t="s">
        <v>116</v>
      </c>
      <c r="F103" s="12" t="s">
        <v>4</v>
      </c>
      <c r="G103" s="12" t="s">
        <v>51</v>
      </c>
      <c r="H103" s="12" t="s">
        <v>506</v>
      </c>
      <c r="I103" s="9" t="s">
        <v>13</v>
      </c>
      <c r="J103" s="12">
        <v>3</v>
      </c>
      <c r="K103" s="8" t="s">
        <v>261</v>
      </c>
      <c r="L103" s="9" t="s">
        <v>258</v>
      </c>
      <c r="M103" s="160"/>
      <c r="N103" s="9" t="s">
        <v>258</v>
      </c>
      <c r="O103" s="9"/>
      <c r="P103" s="10"/>
      <c r="Q103" s="124">
        <v>2</v>
      </c>
      <c r="R103" s="124">
        <v>1</v>
      </c>
      <c r="S103" s="122" t="s">
        <v>483</v>
      </c>
      <c r="T103" s="120"/>
      <c r="U103" s="121"/>
    </row>
    <row r="104" spans="1:26" x14ac:dyDescent="0.3">
      <c r="A104" s="8">
        <v>52</v>
      </c>
      <c r="B104" s="8" t="s">
        <v>467</v>
      </c>
      <c r="C104" s="9" t="s">
        <v>8</v>
      </c>
      <c r="D104" s="10" t="s">
        <v>117</v>
      </c>
      <c r="E104" s="11" t="s">
        <v>118</v>
      </c>
      <c r="F104" s="12" t="s">
        <v>4</v>
      </c>
      <c r="G104" s="12" t="s">
        <v>51</v>
      </c>
      <c r="H104" s="12" t="s">
        <v>506</v>
      </c>
      <c r="I104" s="9" t="s">
        <v>13</v>
      </c>
      <c r="J104" s="12">
        <v>3</v>
      </c>
      <c r="K104" s="8" t="s">
        <v>261</v>
      </c>
      <c r="L104" s="9" t="s">
        <v>258</v>
      </c>
      <c r="M104" s="160"/>
      <c r="N104" s="9" t="s">
        <v>258</v>
      </c>
      <c r="O104" s="9"/>
      <c r="P104" s="10"/>
      <c r="Q104" s="118">
        <f>IF(I104="SI",J104,"")</f>
        <v>3</v>
      </c>
      <c r="R104" s="118" t="str">
        <f>IF(I104="SI","",J104)</f>
        <v/>
      </c>
      <c r="S104" s="122"/>
      <c r="T104" s="120"/>
      <c r="U104" s="121"/>
    </row>
    <row r="105" spans="1:26" x14ac:dyDescent="0.3">
      <c r="A105" s="8">
        <v>53</v>
      </c>
      <c r="B105" s="8" t="s">
        <v>467</v>
      </c>
      <c r="C105" s="9" t="s">
        <v>8</v>
      </c>
      <c r="D105" s="10" t="s">
        <v>119</v>
      </c>
      <c r="E105" s="11" t="s">
        <v>120</v>
      </c>
      <c r="F105" s="12" t="s">
        <v>4</v>
      </c>
      <c r="G105" s="12" t="s">
        <v>51</v>
      </c>
      <c r="H105" s="12" t="s">
        <v>506</v>
      </c>
      <c r="I105" s="9" t="s">
        <v>13</v>
      </c>
      <c r="J105" s="12">
        <v>4</v>
      </c>
      <c r="K105" s="8" t="s">
        <v>261</v>
      </c>
      <c r="L105" s="9" t="s">
        <v>258</v>
      </c>
      <c r="M105" s="160"/>
      <c r="N105" s="9" t="s">
        <v>258</v>
      </c>
      <c r="O105" s="9"/>
      <c r="P105" s="10"/>
      <c r="Q105" s="124">
        <v>2</v>
      </c>
      <c r="R105" s="124">
        <v>2</v>
      </c>
      <c r="S105" s="122" t="s">
        <v>477</v>
      </c>
      <c r="T105" s="120"/>
      <c r="U105" s="121"/>
    </row>
    <row r="106" spans="1:26" x14ac:dyDescent="0.3">
      <c r="A106" s="8">
        <v>54</v>
      </c>
      <c r="B106" s="8" t="s">
        <v>467</v>
      </c>
      <c r="C106" s="9" t="s">
        <v>8</v>
      </c>
      <c r="D106" s="10" t="s">
        <v>121</v>
      </c>
      <c r="E106" s="11" t="s">
        <v>122</v>
      </c>
      <c r="F106" s="12" t="s">
        <v>4</v>
      </c>
      <c r="G106" s="12" t="s">
        <v>51</v>
      </c>
      <c r="H106" s="12" t="s">
        <v>506</v>
      </c>
      <c r="I106" s="9" t="s">
        <v>13</v>
      </c>
      <c r="J106" s="12">
        <v>3</v>
      </c>
      <c r="K106" s="8" t="s">
        <v>261</v>
      </c>
      <c r="L106" s="9" t="s">
        <v>258</v>
      </c>
      <c r="M106" s="160"/>
      <c r="N106" s="9" t="s">
        <v>258</v>
      </c>
      <c r="O106" s="9"/>
      <c r="P106" s="10"/>
      <c r="Q106" s="118">
        <f t="shared" ref="Q106:Q119" si="6">IF(I106="SI",J106,"")</f>
        <v>3</v>
      </c>
      <c r="R106" s="118" t="str">
        <f t="shared" ref="R106:R119" si="7">IF(I106="SI","",J106)</f>
        <v/>
      </c>
      <c r="S106" s="122"/>
      <c r="T106" s="120"/>
      <c r="U106" s="121"/>
    </row>
    <row r="107" spans="1:26" x14ac:dyDescent="0.3">
      <c r="A107" s="8">
        <v>90</v>
      </c>
      <c r="B107" s="8" t="s">
        <v>467</v>
      </c>
      <c r="C107" s="9" t="s">
        <v>8</v>
      </c>
      <c r="D107" s="10" t="s">
        <v>185</v>
      </c>
      <c r="E107" s="11" t="s">
        <v>186</v>
      </c>
      <c r="F107" s="12" t="s">
        <v>4</v>
      </c>
      <c r="G107" s="12" t="s">
        <v>16</v>
      </c>
      <c r="H107" s="12" t="s">
        <v>502</v>
      </c>
      <c r="I107" s="173" t="s">
        <v>511</v>
      </c>
      <c r="J107" s="12">
        <v>3</v>
      </c>
      <c r="K107" s="151" t="s">
        <v>496</v>
      </c>
      <c r="L107" s="9" t="s">
        <v>258</v>
      </c>
      <c r="M107" s="160"/>
      <c r="N107" s="9" t="s">
        <v>258</v>
      </c>
      <c r="O107" s="9"/>
      <c r="Q107" s="118" t="str">
        <f t="shared" si="6"/>
        <v/>
      </c>
      <c r="R107" s="118">
        <f t="shared" si="7"/>
        <v>3</v>
      </c>
      <c r="S107" s="122"/>
      <c r="T107" s="120"/>
      <c r="U107" s="126"/>
    </row>
    <row r="108" spans="1:26" x14ac:dyDescent="0.3">
      <c r="A108" s="8">
        <v>91</v>
      </c>
      <c r="B108" s="8" t="s">
        <v>467</v>
      </c>
      <c r="C108" s="9" t="s">
        <v>8</v>
      </c>
      <c r="D108" s="10" t="s">
        <v>189</v>
      </c>
      <c r="E108" s="11" t="s">
        <v>190</v>
      </c>
      <c r="F108" s="12" t="s">
        <v>4</v>
      </c>
      <c r="G108" s="12" t="s">
        <v>16</v>
      </c>
      <c r="H108" s="12" t="s">
        <v>502</v>
      </c>
      <c r="I108" s="173" t="s">
        <v>511</v>
      </c>
      <c r="J108" s="12">
        <v>4</v>
      </c>
      <c r="K108" s="151" t="s">
        <v>496</v>
      </c>
      <c r="L108" s="9" t="s">
        <v>258</v>
      </c>
      <c r="M108" s="160"/>
      <c r="N108" s="9" t="s">
        <v>258</v>
      </c>
      <c r="O108" s="9"/>
      <c r="Q108" s="118" t="str">
        <f t="shared" si="6"/>
        <v/>
      </c>
      <c r="R108" s="118">
        <f t="shared" si="7"/>
        <v>4</v>
      </c>
      <c r="S108" s="122"/>
      <c r="T108" s="120"/>
      <c r="U108" s="126"/>
    </row>
    <row r="109" spans="1:26" x14ac:dyDescent="0.3">
      <c r="A109" s="8">
        <v>92</v>
      </c>
      <c r="B109" s="8" t="s">
        <v>467</v>
      </c>
      <c r="C109" s="9" t="s">
        <v>8</v>
      </c>
      <c r="D109" s="10" t="s">
        <v>191</v>
      </c>
      <c r="E109" s="11" t="s">
        <v>192</v>
      </c>
      <c r="F109" s="12" t="s">
        <v>4</v>
      </c>
      <c r="G109" s="12" t="s">
        <v>16</v>
      </c>
      <c r="H109" s="12"/>
      <c r="I109" s="9" t="s">
        <v>13</v>
      </c>
      <c r="J109" s="12">
        <v>4</v>
      </c>
      <c r="K109" s="70" t="s">
        <v>262</v>
      </c>
      <c r="L109" s="70" t="s">
        <v>257</v>
      </c>
      <c r="M109" s="67" t="s">
        <v>256</v>
      </c>
      <c r="N109" s="174" t="s">
        <v>512</v>
      </c>
      <c r="O109" s="23"/>
      <c r="P109" s="156"/>
      <c r="Q109" s="118">
        <f t="shared" si="6"/>
        <v>4</v>
      </c>
      <c r="R109" s="118" t="str">
        <f t="shared" si="7"/>
        <v/>
      </c>
      <c r="S109" s="122"/>
      <c r="T109" s="120"/>
      <c r="U109" s="126"/>
    </row>
    <row r="110" spans="1:26" x14ac:dyDescent="0.3">
      <c r="A110" s="8">
        <v>93</v>
      </c>
      <c r="B110" s="8" t="s">
        <v>467</v>
      </c>
      <c r="C110" s="9" t="s">
        <v>8</v>
      </c>
      <c r="D110" s="10" t="s">
        <v>193</v>
      </c>
      <c r="E110" s="11" t="s">
        <v>194</v>
      </c>
      <c r="F110" s="12" t="s">
        <v>4</v>
      </c>
      <c r="G110" s="12" t="s">
        <v>16</v>
      </c>
      <c r="H110" s="12"/>
      <c r="I110" s="9" t="s">
        <v>13</v>
      </c>
      <c r="J110" s="12">
        <v>3</v>
      </c>
      <c r="K110" s="70" t="s">
        <v>262</v>
      </c>
      <c r="L110" s="70" t="s">
        <v>257</v>
      </c>
      <c r="M110" s="67" t="s">
        <v>256</v>
      </c>
      <c r="N110" s="174" t="s">
        <v>512</v>
      </c>
      <c r="O110" s="23"/>
      <c r="P110" s="156"/>
      <c r="Q110" s="118">
        <f t="shared" si="6"/>
        <v>3</v>
      </c>
      <c r="R110" s="118" t="str">
        <f t="shared" si="7"/>
        <v/>
      </c>
      <c r="S110" s="122"/>
      <c r="T110" s="120"/>
      <c r="U110" s="127"/>
    </row>
    <row r="111" spans="1:26" x14ac:dyDescent="0.3">
      <c r="A111" s="8">
        <v>94</v>
      </c>
      <c r="B111" s="8" t="s">
        <v>467</v>
      </c>
      <c r="C111" s="9" t="s">
        <v>8</v>
      </c>
      <c r="D111" s="10" t="s">
        <v>195</v>
      </c>
      <c r="E111" s="11" t="s">
        <v>196</v>
      </c>
      <c r="F111" s="12" t="s">
        <v>4</v>
      </c>
      <c r="G111" s="12" t="s">
        <v>16</v>
      </c>
      <c r="H111" s="12"/>
      <c r="I111" s="9" t="s">
        <v>13</v>
      </c>
      <c r="J111" s="12">
        <v>4</v>
      </c>
      <c r="K111" s="70" t="s">
        <v>262</v>
      </c>
      <c r="L111" s="9" t="s">
        <v>258</v>
      </c>
      <c r="M111" s="164" t="s">
        <v>500</v>
      </c>
      <c r="N111" s="9" t="s">
        <v>258</v>
      </c>
      <c r="O111" s="9"/>
      <c r="Q111" s="118">
        <f t="shared" si="6"/>
        <v>4</v>
      </c>
      <c r="R111" s="118" t="str">
        <f t="shared" si="7"/>
        <v/>
      </c>
      <c r="S111" s="122"/>
      <c r="T111" s="120"/>
      <c r="U111" s="127"/>
    </row>
    <row r="112" spans="1:26" x14ac:dyDescent="0.3">
      <c r="A112" s="8">
        <v>95</v>
      </c>
      <c r="B112" s="8" t="s">
        <v>467</v>
      </c>
      <c r="C112" s="9" t="s">
        <v>8</v>
      </c>
      <c r="D112" s="10" t="s">
        <v>197</v>
      </c>
      <c r="E112" s="11" t="s">
        <v>198</v>
      </c>
      <c r="F112" s="12" t="s">
        <v>4</v>
      </c>
      <c r="G112" s="12" t="s">
        <v>16</v>
      </c>
      <c r="H112" s="12"/>
      <c r="I112" s="9" t="s">
        <v>13</v>
      </c>
      <c r="J112" s="12">
        <v>3</v>
      </c>
      <c r="K112" s="70" t="s">
        <v>262</v>
      </c>
      <c r="L112" s="9" t="s">
        <v>258</v>
      </c>
      <c r="M112" s="164" t="s">
        <v>500</v>
      </c>
      <c r="N112" s="9" t="s">
        <v>258</v>
      </c>
      <c r="O112" s="9"/>
      <c r="Q112" s="118">
        <f t="shared" si="6"/>
        <v>3</v>
      </c>
      <c r="R112" s="118" t="str">
        <f t="shared" si="7"/>
        <v/>
      </c>
      <c r="S112" s="122"/>
      <c r="T112" s="120"/>
      <c r="U112" s="127"/>
    </row>
    <row r="113" spans="1:26" x14ac:dyDescent="0.3">
      <c r="A113" s="8">
        <v>55</v>
      </c>
      <c r="B113" s="8" t="s">
        <v>467</v>
      </c>
      <c r="C113" s="9" t="s">
        <v>8</v>
      </c>
      <c r="D113" s="10" t="s">
        <v>123</v>
      </c>
      <c r="E113" s="11" t="s">
        <v>124</v>
      </c>
      <c r="F113" s="12" t="s">
        <v>4</v>
      </c>
      <c r="G113" s="12" t="s">
        <v>16</v>
      </c>
      <c r="H113" s="12"/>
      <c r="I113" s="9" t="s">
        <v>13</v>
      </c>
      <c r="J113" s="12">
        <v>4</v>
      </c>
      <c r="K113" s="8" t="s">
        <v>261</v>
      </c>
      <c r="L113" s="9" t="s">
        <v>258</v>
      </c>
      <c r="M113" s="160"/>
      <c r="N113" s="9" t="s">
        <v>258</v>
      </c>
      <c r="O113" s="9"/>
      <c r="P113" s="10"/>
      <c r="Q113" s="118">
        <f t="shared" si="6"/>
        <v>4</v>
      </c>
      <c r="R113" s="118" t="str">
        <f t="shared" si="7"/>
        <v/>
      </c>
      <c r="S113" s="122"/>
      <c r="T113" s="120"/>
      <c r="U113" s="121"/>
    </row>
    <row r="114" spans="1:26" hidden="1" x14ac:dyDescent="0.3">
      <c r="A114" s="8">
        <v>208</v>
      </c>
      <c r="B114" s="8" t="s">
        <v>468</v>
      </c>
      <c r="C114" s="9" t="s">
        <v>8</v>
      </c>
      <c r="D114" s="10" t="s">
        <v>430</v>
      </c>
      <c r="E114" s="11" t="s">
        <v>431</v>
      </c>
      <c r="F114" s="12" t="s">
        <v>4</v>
      </c>
      <c r="G114" s="12" t="s">
        <v>16</v>
      </c>
      <c r="H114" s="12" t="s">
        <v>502</v>
      </c>
      <c r="I114" s="9" t="s">
        <v>13</v>
      </c>
      <c r="J114" s="12">
        <v>3</v>
      </c>
      <c r="K114" s="70" t="s">
        <v>262</v>
      </c>
      <c r="L114" s="9" t="s">
        <v>258</v>
      </c>
      <c r="M114" s="164" t="s">
        <v>500</v>
      </c>
      <c r="N114" s="9" t="s">
        <v>258</v>
      </c>
      <c r="O114" s="9"/>
      <c r="Q114" s="118">
        <f t="shared" si="6"/>
        <v>3</v>
      </c>
      <c r="R114" s="118" t="str">
        <f t="shared" si="7"/>
        <v/>
      </c>
      <c r="S114" s="122"/>
      <c r="T114" s="120"/>
      <c r="U114" s="120"/>
      <c r="V114" s="63"/>
      <c r="Z114" s="64"/>
    </row>
    <row r="115" spans="1:26" x14ac:dyDescent="0.3">
      <c r="A115" s="8">
        <v>57</v>
      </c>
      <c r="B115" s="8" t="s">
        <v>467</v>
      </c>
      <c r="C115" s="9" t="s">
        <v>8</v>
      </c>
      <c r="D115" s="10" t="s">
        <v>127</v>
      </c>
      <c r="E115" s="11" t="s">
        <v>128</v>
      </c>
      <c r="F115" s="12" t="s">
        <v>4</v>
      </c>
      <c r="G115" s="12" t="s">
        <v>16</v>
      </c>
      <c r="H115" s="12"/>
      <c r="I115" s="9" t="s">
        <v>13</v>
      </c>
      <c r="J115" s="12">
        <v>4</v>
      </c>
      <c r="K115" s="8" t="s">
        <v>261</v>
      </c>
      <c r="L115" s="9" t="s">
        <v>258</v>
      </c>
      <c r="M115" s="160"/>
      <c r="N115" s="9" t="s">
        <v>258</v>
      </c>
      <c r="O115" s="9"/>
      <c r="P115" s="10"/>
      <c r="Q115" s="118">
        <f t="shared" si="6"/>
        <v>4</v>
      </c>
      <c r="R115" s="118" t="str">
        <f t="shared" si="7"/>
        <v/>
      </c>
      <c r="S115" s="122"/>
      <c r="T115" s="120"/>
      <c r="U115" s="121"/>
    </row>
    <row r="116" spans="1:26" x14ac:dyDescent="0.3">
      <c r="A116" s="8">
        <v>58</v>
      </c>
      <c r="B116" s="8" t="s">
        <v>467</v>
      </c>
      <c r="C116" s="9" t="s">
        <v>8</v>
      </c>
      <c r="D116" s="10" t="s">
        <v>129</v>
      </c>
      <c r="E116" s="11" t="s">
        <v>130</v>
      </c>
      <c r="F116" s="12" t="s">
        <v>4</v>
      </c>
      <c r="G116" s="12" t="s">
        <v>16</v>
      </c>
      <c r="H116" s="12"/>
      <c r="I116" s="9" t="s">
        <v>13</v>
      </c>
      <c r="J116" s="12">
        <v>4</v>
      </c>
      <c r="K116" s="8" t="s">
        <v>261</v>
      </c>
      <c r="L116" s="9" t="s">
        <v>258</v>
      </c>
      <c r="M116" s="160"/>
      <c r="N116" s="9" t="s">
        <v>258</v>
      </c>
      <c r="O116" s="9"/>
      <c r="P116" s="10"/>
      <c r="Q116" s="118">
        <f t="shared" si="6"/>
        <v>4</v>
      </c>
      <c r="R116" s="118" t="str">
        <f t="shared" si="7"/>
        <v/>
      </c>
      <c r="S116" s="122"/>
      <c r="T116" s="120"/>
      <c r="U116" s="121"/>
    </row>
    <row r="117" spans="1:26" x14ac:dyDescent="0.3">
      <c r="A117" s="8">
        <v>59</v>
      </c>
      <c r="B117" s="8" t="s">
        <v>467</v>
      </c>
      <c r="C117" s="9" t="s">
        <v>8</v>
      </c>
      <c r="D117" s="10" t="s">
        <v>131</v>
      </c>
      <c r="E117" s="11" t="s">
        <v>132</v>
      </c>
      <c r="F117" s="12" t="s">
        <v>4</v>
      </c>
      <c r="G117" s="12" t="s">
        <v>16</v>
      </c>
      <c r="H117" s="12"/>
      <c r="I117" s="9" t="s">
        <v>13</v>
      </c>
      <c r="J117" s="12">
        <v>3</v>
      </c>
      <c r="K117" s="8" t="s">
        <v>261</v>
      </c>
      <c r="L117" s="9" t="s">
        <v>258</v>
      </c>
      <c r="M117" s="160"/>
      <c r="N117" s="9" t="s">
        <v>258</v>
      </c>
      <c r="O117" s="9"/>
      <c r="P117" s="10"/>
      <c r="Q117" s="118">
        <f t="shared" si="6"/>
        <v>3</v>
      </c>
      <c r="R117" s="118" t="str">
        <f t="shared" si="7"/>
        <v/>
      </c>
      <c r="S117" s="122"/>
      <c r="T117" s="120"/>
      <c r="U117" s="121"/>
    </row>
    <row r="118" spans="1:26" x14ac:dyDescent="0.3">
      <c r="A118" s="8">
        <v>60</v>
      </c>
      <c r="B118" s="8" t="s">
        <v>467</v>
      </c>
      <c r="C118" s="9" t="s">
        <v>8</v>
      </c>
      <c r="D118" s="10" t="s">
        <v>133</v>
      </c>
      <c r="E118" s="11" t="s">
        <v>134</v>
      </c>
      <c r="F118" s="12" t="s">
        <v>4</v>
      </c>
      <c r="G118" s="12" t="s">
        <v>16</v>
      </c>
      <c r="H118" s="12"/>
      <c r="I118" s="9" t="s">
        <v>13</v>
      </c>
      <c r="J118" s="12">
        <v>7</v>
      </c>
      <c r="K118" s="8" t="s">
        <v>261</v>
      </c>
      <c r="L118" s="9" t="s">
        <v>258</v>
      </c>
      <c r="M118" s="160"/>
      <c r="N118" s="9" t="s">
        <v>258</v>
      </c>
      <c r="O118" s="9"/>
      <c r="P118" s="10"/>
      <c r="Q118" s="118">
        <f t="shared" si="6"/>
        <v>7</v>
      </c>
      <c r="R118" s="118" t="str">
        <f t="shared" si="7"/>
        <v/>
      </c>
      <c r="S118" s="122"/>
      <c r="T118" s="120"/>
      <c r="U118" s="121"/>
    </row>
    <row r="119" spans="1:26" x14ac:dyDescent="0.3">
      <c r="A119" s="8">
        <v>96</v>
      </c>
      <c r="B119" s="8" t="s">
        <v>467</v>
      </c>
      <c r="C119" s="9" t="s">
        <v>8</v>
      </c>
      <c r="D119" s="10" t="s">
        <v>199</v>
      </c>
      <c r="E119" s="11" t="s">
        <v>200</v>
      </c>
      <c r="F119" s="12" t="s">
        <v>4</v>
      </c>
      <c r="G119" s="12" t="s">
        <v>16</v>
      </c>
      <c r="H119" s="12"/>
      <c r="I119" s="9" t="s">
        <v>13</v>
      </c>
      <c r="J119" s="12">
        <v>2</v>
      </c>
      <c r="K119" s="70" t="s">
        <v>262</v>
      </c>
      <c r="L119" s="9" t="s">
        <v>258</v>
      </c>
      <c r="M119" s="164" t="s">
        <v>500</v>
      </c>
      <c r="N119" s="9" t="s">
        <v>258</v>
      </c>
      <c r="O119" s="9"/>
      <c r="Q119" s="118">
        <f t="shared" si="6"/>
        <v>2</v>
      </c>
      <c r="R119" s="118" t="str">
        <f t="shared" si="7"/>
        <v/>
      </c>
      <c r="S119" s="122"/>
      <c r="T119" s="120"/>
      <c r="U119" s="126"/>
    </row>
    <row r="120" spans="1:26" x14ac:dyDescent="0.3">
      <c r="A120" s="8">
        <v>61</v>
      </c>
      <c r="B120" s="8" t="s">
        <v>467</v>
      </c>
      <c r="C120" s="9" t="s">
        <v>8</v>
      </c>
      <c r="D120" s="10" t="s">
        <v>135</v>
      </c>
      <c r="E120" s="11" t="s">
        <v>136</v>
      </c>
      <c r="F120" s="12" t="s">
        <v>4</v>
      </c>
      <c r="G120" s="12" t="s">
        <v>16</v>
      </c>
      <c r="H120" s="12"/>
      <c r="I120" s="9" t="s">
        <v>13</v>
      </c>
      <c r="J120" s="12">
        <v>4</v>
      </c>
      <c r="K120" s="8" t="s">
        <v>261</v>
      </c>
      <c r="L120" s="9" t="s">
        <v>258</v>
      </c>
      <c r="M120" s="160"/>
      <c r="N120" s="9" t="s">
        <v>258</v>
      </c>
      <c r="O120" s="9"/>
      <c r="P120" s="10"/>
      <c r="Q120" s="118" t="s">
        <v>472</v>
      </c>
      <c r="R120" s="118">
        <f>J120</f>
        <v>4</v>
      </c>
      <c r="S120" s="119" t="s">
        <v>474</v>
      </c>
      <c r="T120" s="120"/>
      <c r="U120" s="121"/>
    </row>
    <row r="121" spans="1:26" x14ac:dyDescent="0.3">
      <c r="A121" s="8">
        <v>62</v>
      </c>
      <c r="B121" s="8" t="s">
        <v>467</v>
      </c>
      <c r="C121" s="9" t="s">
        <v>8</v>
      </c>
      <c r="D121" s="10" t="s">
        <v>137</v>
      </c>
      <c r="E121" s="11" t="s">
        <v>138</v>
      </c>
      <c r="F121" s="12" t="s">
        <v>4</v>
      </c>
      <c r="G121" s="12" t="s">
        <v>16</v>
      </c>
      <c r="H121" s="12"/>
      <c r="I121" s="9" t="s">
        <v>13</v>
      </c>
      <c r="J121" s="12">
        <v>3</v>
      </c>
      <c r="K121" s="8" t="s">
        <v>261</v>
      </c>
      <c r="L121" s="9" t="s">
        <v>258</v>
      </c>
      <c r="M121" s="160"/>
      <c r="N121" s="9" t="s">
        <v>258</v>
      </c>
      <c r="O121" s="9"/>
      <c r="P121" s="10"/>
      <c r="Q121" s="118" t="s">
        <v>472</v>
      </c>
      <c r="R121" s="118">
        <f>J121</f>
        <v>3</v>
      </c>
      <c r="S121" s="122" t="s">
        <v>476</v>
      </c>
      <c r="T121" s="120"/>
      <c r="U121" s="121"/>
    </row>
    <row r="122" spans="1:26" x14ac:dyDescent="0.3">
      <c r="A122" s="8">
        <v>63</v>
      </c>
      <c r="B122" s="8" t="s">
        <v>467</v>
      </c>
      <c r="C122" s="9" t="s">
        <v>8</v>
      </c>
      <c r="D122" s="10" t="s">
        <v>139</v>
      </c>
      <c r="E122" s="11" t="s">
        <v>140</v>
      </c>
      <c r="F122" s="12" t="s">
        <v>4</v>
      </c>
      <c r="G122" s="12" t="s">
        <v>16</v>
      </c>
      <c r="H122" s="12"/>
      <c r="I122" s="9" t="s">
        <v>13</v>
      </c>
      <c r="J122" s="12">
        <v>4</v>
      </c>
      <c r="K122" s="8" t="s">
        <v>261</v>
      </c>
      <c r="L122" s="9" t="s">
        <v>258</v>
      </c>
      <c r="M122" s="160"/>
      <c r="N122" s="9" t="s">
        <v>258</v>
      </c>
      <c r="O122" s="9"/>
      <c r="P122" s="10"/>
      <c r="Q122" s="118">
        <f t="shared" ref="Q122:Q136" si="8">IF(I122="SI",J122,"")</f>
        <v>4</v>
      </c>
      <c r="R122" s="118" t="str">
        <f t="shared" ref="R122:R136" si="9">IF(I122="SI","",J122)</f>
        <v/>
      </c>
      <c r="S122" s="122"/>
      <c r="T122" s="120"/>
      <c r="U122" s="121"/>
    </row>
    <row r="123" spans="1:26" x14ac:dyDescent="0.3">
      <c r="A123" s="8">
        <v>64</v>
      </c>
      <c r="B123" s="8" t="s">
        <v>467</v>
      </c>
      <c r="C123" s="9" t="s">
        <v>8</v>
      </c>
      <c r="D123" s="10" t="s">
        <v>141</v>
      </c>
      <c r="E123" s="11" t="s">
        <v>142</v>
      </c>
      <c r="F123" s="12" t="s">
        <v>4</v>
      </c>
      <c r="G123" s="12" t="s">
        <v>16</v>
      </c>
      <c r="H123" s="12"/>
      <c r="I123" s="9" t="s">
        <v>13</v>
      </c>
      <c r="J123" s="12">
        <v>4</v>
      </c>
      <c r="K123" s="8" t="s">
        <v>261</v>
      </c>
      <c r="L123" s="9" t="s">
        <v>258</v>
      </c>
      <c r="M123" s="160"/>
      <c r="N123" s="9" t="s">
        <v>258</v>
      </c>
      <c r="O123" s="9"/>
      <c r="P123" s="10"/>
      <c r="Q123" s="118">
        <f t="shared" si="8"/>
        <v>4</v>
      </c>
      <c r="R123" s="118" t="str">
        <f t="shared" si="9"/>
        <v/>
      </c>
      <c r="S123" s="122"/>
      <c r="T123" s="120"/>
      <c r="U123" s="121"/>
    </row>
    <row r="124" spans="1:26" x14ac:dyDescent="0.3">
      <c r="A124" s="8">
        <v>65</v>
      </c>
      <c r="B124" s="8" t="s">
        <v>467</v>
      </c>
      <c r="C124" s="9" t="s">
        <v>8</v>
      </c>
      <c r="D124" s="10" t="s">
        <v>143</v>
      </c>
      <c r="E124" s="11" t="s">
        <v>144</v>
      </c>
      <c r="F124" s="12" t="s">
        <v>4</v>
      </c>
      <c r="G124" s="12" t="s">
        <v>16</v>
      </c>
      <c r="H124" s="12"/>
      <c r="I124" s="9" t="s">
        <v>13</v>
      </c>
      <c r="J124" s="12">
        <v>3</v>
      </c>
      <c r="K124" s="8" t="s">
        <v>261</v>
      </c>
      <c r="L124" s="9" t="s">
        <v>258</v>
      </c>
      <c r="M124" s="160"/>
      <c r="N124" s="9" t="s">
        <v>258</v>
      </c>
      <c r="O124" s="9"/>
      <c r="P124" s="10"/>
      <c r="Q124" s="118">
        <f t="shared" si="8"/>
        <v>3</v>
      </c>
      <c r="R124" s="118" t="str">
        <f t="shared" si="9"/>
        <v/>
      </c>
      <c r="S124" s="122"/>
      <c r="T124" s="120"/>
      <c r="U124" s="121"/>
    </row>
    <row r="125" spans="1:26" x14ac:dyDescent="0.3">
      <c r="A125" s="8">
        <v>97</v>
      </c>
      <c r="B125" s="8" t="s">
        <v>467</v>
      </c>
      <c r="C125" s="9" t="s">
        <v>8</v>
      </c>
      <c r="D125" s="10" t="s">
        <v>201</v>
      </c>
      <c r="E125" s="11" t="s">
        <v>202</v>
      </c>
      <c r="F125" s="12" t="s">
        <v>4</v>
      </c>
      <c r="G125" s="12" t="s">
        <v>16</v>
      </c>
      <c r="H125" s="12" t="s">
        <v>502</v>
      </c>
      <c r="I125" s="173" t="s">
        <v>511</v>
      </c>
      <c r="J125" s="12">
        <v>3</v>
      </c>
      <c r="K125" s="151" t="s">
        <v>496</v>
      </c>
      <c r="L125" s="9" t="s">
        <v>258</v>
      </c>
      <c r="M125" s="160"/>
      <c r="N125" s="9" t="s">
        <v>258</v>
      </c>
      <c r="O125" s="9"/>
      <c r="Q125" s="118" t="str">
        <f t="shared" si="8"/>
        <v/>
      </c>
      <c r="R125" s="118">
        <f t="shared" si="9"/>
        <v>3</v>
      </c>
      <c r="S125" s="122"/>
      <c r="T125" s="120"/>
      <c r="U125" s="127"/>
    </row>
    <row r="126" spans="1:26" x14ac:dyDescent="0.3">
      <c r="A126" s="8">
        <v>98</v>
      </c>
      <c r="B126" s="8" t="s">
        <v>467</v>
      </c>
      <c r="C126" s="9" t="s">
        <v>8</v>
      </c>
      <c r="D126" s="10" t="s">
        <v>203</v>
      </c>
      <c r="E126" s="11" t="s">
        <v>204</v>
      </c>
      <c r="F126" s="12" t="s">
        <v>4</v>
      </c>
      <c r="G126" s="12" t="s">
        <v>51</v>
      </c>
      <c r="H126" s="172" t="s">
        <v>505</v>
      </c>
      <c r="I126" s="9" t="s">
        <v>178</v>
      </c>
      <c r="J126" s="12">
        <v>2</v>
      </c>
      <c r="K126" s="151" t="s">
        <v>496</v>
      </c>
      <c r="L126" s="9" t="s">
        <v>258</v>
      </c>
      <c r="M126" s="160"/>
      <c r="N126" s="9" t="s">
        <v>258</v>
      </c>
      <c r="O126" s="9"/>
      <c r="Q126" s="118" t="str">
        <f t="shared" si="8"/>
        <v/>
      </c>
      <c r="R126" s="118">
        <f t="shared" si="9"/>
        <v>2</v>
      </c>
      <c r="S126" s="122"/>
      <c r="T126" s="120"/>
      <c r="U126" s="126"/>
    </row>
    <row r="127" spans="1:26" x14ac:dyDescent="0.3">
      <c r="A127" s="8">
        <v>66</v>
      </c>
      <c r="B127" s="8" t="s">
        <v>467</v>
      </c>
      <c r="C127" s="9" t="s">
        <v>8</v>
      </c>
      <c r="D127" s="10" t="s">
        <v>145</v>
      </c>
      <c r="E127" s="11" t="s">
        <v>146</v>
      </c>
      <c r="F127" s="12" t="s">
        <v>11</v>
      </c>
      <c r="G127" s="13" t="s">
        <v>51</v>
      </c>
      <c r="H127" s="12" t="s">
        <v>506</v>
      </c>
      <c r="I127" s="9" t="s">
        <v>13</v>
      </c>
      <c r="J127" s="15">
        <v>4</v>
      </c>
      <c r="K127" s="8" t="s">
        <v>261</v>
      </c>
      <c r="L127" s="9" t="s">
        <v>258</v>
      </c>
      <c r="M127" s="160"/>
      <c r="N127" s="9" t="s">
        <v>258</v>
      </c>
      <c r="O127" s="9"/>
      <c r="P127" s="10"/>
      <c r="Q127" s="118">
        <f t="shared" si="8"/>
        <v>4</v>
      </c>
      <c r="R127" s="118" t="str">
        <f t="shared" si="9"/>
        <v/>
      </c>
      <c r="S127" s="122"/>
      <c r="T127" s="120"/>
      <c r="U127" s="121"/>
    </row>
    <row r="128" spans="1:26" x14ac:dyDescent="0.3">
      <c r="A128" s="8">
        <v>99</v>
      </c>
      <c r="B128" s="8" t="s">
        <v>467</v>
      </c>
      <c r="C128" s="9" t="s">
        <v>8</v>
      </c>
      <c r="D128" s="10" t="s">
        <v>205</v>
      </c>
      <c r="E128" s="30" t="s">
        <v>206</v>
      </c>
      <c r="F128" s="12" t="s">
        <v>4</v>
      </c>
      <c r="G128" s="12" t="s">
        <v>16</v>
      </c>
      <c r="H128" s="12" t="s">
        <v>502</v>
      </c>
      <c r="I128" s="9" t="s">
        <v>178</v>
      </c>
      <c r="J128" s="12">
        <v>2</v>
      </c>
      <c r="K128" s="151" t="s">
        <v>496</v>
      </c>
      <c r="L128" s="9" t="s">
        <v>258</v>
      </c>
      <c r="M128" s="160"/>
      <c r="N128" s="9" t="s">
        <v>258</v>
      </c>
      <c r="O128" s="9"/>
      <c r="Q128" s="118" t="str">
        <f t="shared" si="8"/>
        <v/>
      </c>
      <c r="R128" s="118">
        <f t="shared" si="9"/>
        <v>2</v>
      </c>
      <c r="S128" s="122"/>
      <c r="T128" s="120"/>
      <c r="U128" s="126"/>
    </row>
    <row r="129" spans="1:26" x14ac:dyDescent="0.3">
      <c r="A129" s="8">
        <v>67</v>
      </c>
      <c r="B129" s="8" t="s">
        <v>467</v>
      </c>
      <c r="C129" s="9" t="s">
        <v>8</v>
      </c>
      <c r="D129" s="10" t="s">
        <v>147</v>
      </c>
      <c r="E129" s="30" t="s">
        <v>148</v>
      </c>
      <c r="F129" s="12" t="s">
        <v>4</v>
      </c>
      <c r="G129" s="12" t="s">
        <v>51</v>
      </c>
      <c r="H129" s="12" t="s">
        <v>506</v>
      </c>
      <c r="I129" s="9" t="s">
        <v>13</v>
      </c>
      <c r="J129" s="12">
        <v>2</v>
      </c>
      <c r="K129" s="67" t="s">
        <v>256</v>
      </c>
      <c r="L129" s="9" t="s">
        <v>258</v>
      </c>
      <c r="M129" s="160"/>
      <c r="N129" s="9" t="s">
        <v>258</v>
      </c>
      <c r="O129" s="9"/>
      <c r="P129" s="10"/>
      <c r="Q129" s="118">
        <f t="shared" si="8"/>
        <v>2</v>
      </c>
      <c r="R129" s="118" t="str">
        <f t="shared" si="9"/>
        <v/>
      </c>
      <c r="S129" s="122"/>
      <c r="T129" s="120"/>
      <c r="U129" s="121"/>
    </row>
    <row r="130" spans="1:26" x14ac:dyDescent="0.3">
      <c r="A130" s="8">
        <v>68</v>
      </c>
      <c r="B130" s="8" t="s">
        <v>467</v>
      </c>
      <c r="C130" s="9" t="s">
        <v>8</v>
      </c>
      <c r="D130" s="10" t="s">
        <v>149</v>
      </c>
      <c r="E130" s="30" t="s">
        <v>150</v>
      </c>
      <c r="F130" s="12" t="s">
        <v>4</v>
      </c>
      <c r="G130" s="12" t="s">
        <v>16</v>
      </c>
      <c r="H130" s="12" t="s">
        <v>502</v>
      </c>
      <c r="I130" s="9" t="s">
        <v>13</v>
      </c>
      <c r="J130" s="12">
        <v>3</v>
      </c>
      <c r="K130" s="8" t="s">
        <v>261</v>
      </c>
      <c r="L130" s="9" t="s">
        <v>258</v>
      </c>
      <c r="M130" s="160"/>
      <c r="N130" s="9" t="s">
        <v>258</v>
      </c>
      <c r="O130" s="9"/>
      <c r="Q130" s="118">
        <f t="shared" si="8"/>
        <v>3</v>
      </c>
      <c r="R130" s="118" t="str">
        <f t="shared" si="9"/>
        <v/>
      </c>
      <c r="S130" s="122"/>
      <c r="T130" s="120"/>
      <c r="U130" s="121"/>
    </row>
    <row r="131" spans="1:26" x14ac:dyDescent="0.3">
      <c r="A131" s="8">
        <v>69</v>
      </c>
      <c r="B131" s="8" t="s">
        <v>467</v>
      </c>
      <c r="C131" s="9" t="s">
        <v>8</v>
      </c>
      <c r="D131" s="10" t="s">
        <v>151</v>
      </c>
      <c r="E131" s="30" t="s">
        <v>152</v>
      </c>
      <c r="F131" s="12" t="s">
        <v>4</v>
      </c>
      <c r="G131" s="12" t="s">
        <v>16</v>
      </c>
      <c r="H131" s="12"/>
      <c r="I131" s="9" t="s">
        <v>13</v>
      </c>
      <c r="J131" s="12">
        <v>4</v>
      </c>
      <c r="K131" s="8" t="s">
        <v>507</v>
      </c>
      <c r="L131" s="9" t="s">
        <v>258</v>
      </c>
      <c r="M131" s="160"/>
      <c r="N131" s="9" t="s">
        <v>258</v>
      </c>
      <c r="O131" s="9"/>
      <c r="Q131" s="118">
        <f t="shared" si="8"/>
        <v>4</v>
      </c>
      <c r="R131" s="118" t="str">
        <f t="shared" si="9"/>
        <v/>
      </c>
      <c r="S131" s="122"/>
      <c r="T131" s="120"/>
      <c r="U131" s="121"/>
    </row>
    <row r="132" spans="1:26" hidden="1" x14ac:dyDescent="0.3">
      <c r="A132" s="8">
        <v>160</v>
      </c>
      <c r="B132" s="8" t="s">
        <v>468</v>
      </c>
      <c r="C132" s="9" t="s">
        <v>8</v>
      </c>
      <c r="D132" s="10" t="s">
        <v>335</v>
      </c>
      <c r="E132" s="30" t="s">
        <v>336</v>
      </c>
      <c r="F132" s="12" t="s">
        <v>4</v>
      </c>
      <c r="G132" s="12" t="s">
        <v>16</v>
      </c>
      <c r="H132" s="12"/>
      <c r="I132" s="9" t="s">
        <v>13</v>
      </c>
      <c r="J132" s="12">
        <v>4</v>
      </c>
      <c r="K132" s="8" t="s">
        <v>261</v>
      </c>
      <c r="L132" s="9" t="s">
        <v>258</v>
      </c>
      <c r="M132" s="160"/>
      <c r="N132" s="9" t="s">
        <v>258</v>
      </c>
      <c r="O132" s="9"/>
      <c r="P132" s="10"/>
      <c r="Q132" s="118">
        <f t="shared" si="8"/>
        <v>4</v>
      </c>
      <c r="R132" s="118" t="str">
        <f t="shared" si="9"/>
        <v/>
      </c>
      <c r="S132" s="122"/>
      <c r="T132" s="120"/>
      <c r="U132" s="120"/>
      <c r="V132" s="63"/>
      <c r="Z132" s="64"/>
    </row>
    <row r="133" spans="1:26" hidden="1" x14ac:dyDescent="0.3">
      <c r="A133" s="8">
        <v>161</v>
      </c>
      <c r="B133" s="8" t="s">
        <v>468</v>
      </c>
      <c r="C133" s="9" t="s">
        <v>8</v>
      </c>
      <c r="D133" s="10" t="s">
        <v>337</v>
      </c>
      <c r="E133" s="30" t="s">
        <v>338</v>
      </c>
      <c r="F133" s="12" t="s">
        <v>4</v>
      </c>
      <c r="G133" s="12" t="s">
        <v>16</v>
      </c>
      <c r="H133" s="12"/>
      <c r="I133" s="9" t="s">
        <v>13</v>
      </c>
      <c r="J133" s="12">
        <v>3</v>
      </c>
      <c r="K133" s="8" t="s">
        <v>261</v>
      </c>
      <c r="L133" s="9" t="s">
        <v>258</v>
      </c>
      <c r="M133" s="160"/>
      <c r="N133" s="9" t="s">
        <v>258</v>
      </c>
      <c r="O133" s="9"/>
      <c r="P133" s="10"/>
      <c r="Q133" s="118">
        <f t="shared" si="8"/>
        <v>3</v>
      </c>
      <c r="R133" s="118" t="str">
        <f t="shared" si="9"/>
        <v/>
      </c>
      <c r="S133" s="122"/>
      <c r="T133" s="120"/>
      <c r="U133" s="120"/>
      <c r="V133" s="63"/>
      <c r="Z133" s="64"/>
    </row>
    <row r="134" spans="1:26" hidden="1" x14ac:dyDescent="0.3">
      <c r="A134" s="8">
        <v>162</v>
      </c>
      <c r="B134" s="8" t="s">
        <v>468</v>
      </c>
      <c r="C134" s="9" t="s">
        <v>8</v>
      </c>
      <c r="D134" s="10" t="s">
        <v>339</v>
      </c>
      <c r="E134" s="30" t="s">
        <v>340</v>
      </c>
      <c r="F134" s="12" t="s">
        <v>4</v>
      </c>
      <c r="G134" s="12" t="s">
        <v>16</v>
      </c>
      <c r="H134" s="12"/>
      <c r="I134" s="9" t="s">
        <v>13</v>
      </c>
      <c r="J134" s="12">
        <v>3</v>
      </c>
      <c r="K134" s="8" t="s">
        <v>261</v>
      </c>
      <c r="L134" s="9" t="s">
        <v>258</v>
      </c>
      <c r="M134" s="160"/>
      <c r="N134" s="9" t="s">
        <v>258</v>
      </c>
      <c r="O134" s="9"/>
      <c r="P134" s="10"/>
      <c r="Q134" s="118">
        <f t="shared" si="8"/>
        <v>3</v>
      </c>
      <c r="R134" s="118" t="str">
        <f t="shared" si="9"/>
        <v/>
      </c>
      <c r="S134" s="122"/>
      <c r="T134" s="120"/>
      <c r="U134" s="120"/>
      <c r="V134" s="63"/>
      <c r="Z134" s="64"/>
    </row>
    <row r="135" spans="1:26" x14ac:dyDescent="0.3">
      <c r="A135" s="8">
        <v>100</v>
      </c>
      <c r="B135" s="8" t="s">
        <v>467</v>
      </c>
      <c r="C135" s="9" t="s">
        <v>8</v>
      </c>
      <c r="D135" s="10" t="s">
        <v>207</v>
      </c>
      <c r="E135" s="30" t="s">
        <v>208</v>
      </c>
      <c r="F135" s="12" t="s">
        <v>4</v>
      </c>
      <c r="G135" s="12" t="s">
        <v>16</v>
      </c>
      <c r="H135" s="12" t="s">
        <v>502</v>
      </c>
      <c r="I135" s="9" t="s">
        <v>178</v>
      </c>
      <c r="J135" s="12">
        <v>3</v>
      </c>
      <c r="K135" s="151" t="s">
        <v>496</v>
      </c>
      <c r="L135" s="9" t="s">
        <v>258</v>
      </c>
      <c r="M135" s="160"/>
      <c r="N135" s="9" t="s">
        <v>258</v>
      </c>
      <c r="O135" s="9"/>
      <c r="Q135" s="118" t="str">
        <f t="shared" si="8"/>
        <v/>
      </c>
      <c r="R135" s="118">
        <f t="shared" si="9"/>
        <v>3</v>
      </c>
      <c r="S135" s="122"/>
      <c r="T135" s="120"/>
      <c r="U135" s="126"/>
    </row>
    <row r="136" spans="1:26" hidden="1" x14ac:dyDescent="0.3">
      <c r="A136" s="8">
        <v>199</v>
      </c>
      <c r="B136" s="8" t="s">
        <v>468</v>
      </c>
      <c r="C136" s="9" t="s">
        <v>8</v>
      </c>
      <c r="D136" s="10" t="s">
        <v>403</v>
      </c>
      <c r="E136" s="30" t="s">
        <v>404</v>
      </c>
      <c r="F136" s="12" t="s">
        <v>4</v>
      </c>
      <c r="G136" s="12" t="s">
        <v>16</v>
      </c>
      <c r="H136" s="12"/>
      <c r="I136" s="173" t="s">
        <v>511</v>
      </c>
      <c r="J136" s="12">
        <v>4</v>
      </c>
      <c r="K136" s="68" t="s">
        <v>260</v>
      </c>
      <c r="L136" s="9" t="s">
        <v>258</v>
      </c>
      <c r="M136" s="160"/>
      <c r="N136" s="9" t="s">
        <v>258</v>
      </c>
      <c r="O136" s="9"/>
      <c r="Q136" s="118" t="str">
        <f t="shared" si="8"/>
        <v/>
      </c>
      <c r="R136" s="118">
        <f t="shared" si="9"/>
        <v>4</v>
      </c>
      <c r="S136" s="122"/>
      <c r="T136" s="120"/>
      <c r="U136" s="120"/>
      <c r="V136" s="63"/>
      <c r="Z136" s="64"/>
    </row>
    <row r="137" spans="1:26" x14ac:dyDescent="0.3">
      <c r="A137" s="8">
        <v>70</v>
      </c>
      <c r="B137" s="8" t="s">
        <v>467</v>
      </c>
      <c r="C137" s="9" t="s">
        <v>8</v>
      </c>
      <c r="D137" s="10" t="s">
        <v>153</v>
      </c>
      <c r="E137" s="30" t="s">
        <v>154</v>
      </c>
      <c r="F137" s="12" t="s">
        <v>4</v>
      </c>
      <c r="G137" s="12" t="s">
        <v>16</v>
      </c>
      <c r="H137" s="12" t="s">
        <v>502</v>
      </c>
      <c r="I137" s="9" t="s">
        <v>13</v>
      </c>
      <c r="J137" s="12">
        <v>4</v>
      </c>
      <c r="K137" s="8" t="s">
        <v>261</v>
      </c>
      <c r="L137" s="9" t="s">
        <v>258</v>
      </c>
      <c r="M137" s="160"/>
      <c r="N137" s="9" t="s">
        <v>258</v>
      </c>
      <c r="O137" s="9"/>
      <c r="Q137" s="118" t="s">
        <v>472</v>
      </c>
      <c r="R137" s="118">
        <f>J137</f>
        <v>4</v>
      </c>
      <c r="S137" s="119" t="s">
        <v>474</v>
      </c>
      <c r="T137" s="120"/>
      <c r="U137" s="121"/>
    </row>
    <row r="138" spans="1:26" x14ac:dyDescent="0.3">
      <c r="A138" s="8">
        <v>71</v>
      </c>
      <c r="B138" s="8" t="s">
        <v>467</v>
      </c>
      <c r="C138" s="9" t="s">
        <v>8</v>
      </c>
      <c r="D138" s="10" t="s">
        <v>155</v>
      </c>
      <c r="E138" s="30" t="s">
        <v>156</v>
      </c>
      <c r="F138" s="12" t="s">
        <v>4</v>
      </c>
      <c r="G138" s="12" t="s">
        <v>16</v>
      </c>
      <c r="H138" s="12" t="s">
        <v>502</v>
      </c>
      <c r="I138" s="9" t="s">
        <v>13</v>
      </c>
      <c r="J138" s="12">
        <v>5</v>
      </c>
      <c r="K138" s="8" t="s">
        <v>507</v>
      </c>
      <c r="L138" s="9" t="s">
        <v>258</v>
      </c>
      <c r="M138" s="160"/>
      <c r="N138" s="9" t="s">
        <v>258</v>
      </c>
      <c r="O138" s="9"/>
      <c r="Q138" s="118">
        <f t="shared" ref="Q138:Q154" si="10">IF(I138="SI",J138,"")</f>
        <v>5</v>
      </c>
      <c r="R138" s="118" t="str">
        <f t="shared" ref="R138:R154" si="11">IF(I138="SI","",J138)</f>
        <v/>
      </c>
      <c r="S138" s="122"/>
      <c r="T138" s="120"/>
      <c r="U138" s="121"/>
    </row>
    <row r="139" spans="1:26" hidden="1" x14ac:dyDescent="0.3">
      <c r="A139" s="8">
        <v>200</v>
      </c>
      <c r="B139" s="8" t="s">
        <v>468</v>
      </c>
      <c r="C139" s="9" t="s">
        <v>8</v>
      </c>
      <c r="D139" s="10" t="s">
        <v>406</v>
      </c>
      <c r="E139" s="30" t="s">
        <v>407</v>
      </c>
      <c r="F139" s="12" t="s">
        <v>4</v>
      </c>
      <c r="G139" s="12" t="s">
        <v>16</v>
      </c>
      <c r="H139" s="12"/>
      <c r="I139" s="9" t="s">
        <v>178</v>
      </c>
      <c r="J139" s="12">
        <v>5</v>
      </c>
      <c r="K139" s="151" t="s">
        <v>496</v>
      </c>
      <c r="L139" s="9" t="s">
        <v>258</v>
      </c>
      <c r="M139" s="160"/>
      <c r="N139" s="9" t="s">
        <v>258</v>
      </c>
      <c r="O139" s="9"/>
      <c r="Q139" s="118" t="str">
        <f t="shared" si="10"/>
        <v/>
      </c>
      <c r="R139" s="118">
        <f t="shared" si="11"/>
        <v>5</v>
      </c>
      <c r="S139" s="122"/>
      <c r="T139" s="120"/>
      <c r="U139" s="120"/>
      <c r="V139" s="63"/>
      <c r="Z139" s="64"/>
    </row>
    <row r="140" spans="1:26" hidden="1" x14ac:dyDescent="0.3">
      <c r="A140" s="8">
        <v>201</v>
      </c>
      <c r="B140" s="8" t="s">
        <v>468</v>
      </c>
      <c r="C140" s="9" t="s">
        <v>8</v>
      </c>
      <c r="D140" s="10" t="s">
        <v>409</v>
      </c>
      <c r="E140" s="30" t="s">
        <v>410</v>
      </c>
      <c r="F140" s="12" t="s">
        <v>4</v>
      </c>
      <c r="G140" s="12" t="s">
        <v>16</v>
      </c>
      <c r="H140" s="12"/>
      <c r="I140" s="173" t="s">
        <v>511</v>
      </c>
      <c r="J140" s="12">
        <v>3</v>
      </c>
      <c r="K140" s="151" t="s">
        <v>496</v>
      </c>
      <c r="L140" s="9" t="s">
        <v>258</v>
      </c>
      <c r="M140" s="160"/>
      <c r="N140" s="9" t="s">
        <v>258</v>
      </c>
      <c r="O140" s="9"/>
      <c r="Q140" s="118" t="str">
        <f t="shared" si="10"/>
        <v/>
      </c>
      <c r="R140" s="118">
        <f t="shared" si="11"/>
        <v>3</v>
      </c>
      <c r="S140" s="122"/>
      <c r="T140" s="120"/>
      <c r="U140" s="120"/>
      <c r="V140" s="63"/>
      <c r="Z140" s="64"/>
    </row>
    <row r="141" spans="1:26" hidden="1" x14ac:dyDescent="0.3">
      <c r="A141" s="8">
        <v>202</v>
      </c>
      <c r="B141" s="8" t="s">
        <v>468</v>
      </c>
      <c r="C141" s="9" t="s">
        <v>8</v>
      </c>
      <c r="D141" s="10" t="s">
        <v>412</v>
      </c>
      <c r="E141" s="30" t="s">
        <v>413</v>
      </c>
      <c r="F141" s="12" t="s">
        <v>4</v>
      </c>
      <c r="G141" s="12" t="s">
        <v>16</v>
      </c>
      <c r="H141" s="12"/>
      <c r="I141" s="173" t="s">
        <v>511</v>
      </c>
      <c r="J141" s="12">
        <v>4</v>
      </c>
      <c r="K141" s="151" t="s">
        <v>496</v>
      </c>
      <c r="L141" s="9" t="s">
        <v>258</v>
      </c>
      <c r="M141" s="160"/>
      <c r="N141" s="9" t="s">
        <v>258</v>
      </c>
      <c r="O141" s="9"/>
      <c r="Q141" s="118" t="str">
        <f t="shared" si="10"/>
        <v/>
      </c>
      <c r="R141" s="118">
        <f t="shared" si="11"/>
        <v>4</v>
      </c>
      <c r="S141" s="122"/>
      <c r="T141" s="120"/>
      <c r="U141" s="120"/>
      <c r="V141" s="63"/>
      <c r="Z141" s="64"/>
    </row>
    <row r="142" spans="1:26" hidden="1" x14ac:dyDescent="0.3">
      <c r="A142" s="8">
        <v>163</v>
      </c>
      <c r="B142" s="8" t="s">
        <v>468</v>
      </c>
      <c r="C142" s="9" t="s">
        <v>8</v>
      </c>
      <c r="D142" s="10" t="s">
        <v>341</v>
      </c>
      <c r="E142" s="30" t="s">
        <v>342</v>
      </c>
      <c r="F142" s="12" t="s">
        <v>4</v>
      </c>
      <c r="G142" s="12" t="s">
        <v>16</v>
      </c>
      <c r="H142" s="12"/>
      <c r="I142" s="9" t="s">
        <v>13</v>
      </c>
      <c r="J142" s="12">
        <v>5</v>
      </c>
      <c r="K142" s="8" t="s">
        <v>261</v>
      </c>
      <c r="L142" s="9" t="s">
        <v>258</v>
      </c>
      <c r="M142" s="160"/>
      <c r="N142" s="9" t="s">
        <v>258</v>
      </c>
      <c r="O142" s="9"/>
      <c r="P142" s="10"/>
      <c r="Q142" s="118">
        <f t="shared" si="10"/>
        <v>5</v>
      </c>
      <c r="R142" s="118" t="str">
        <f t="shared" si="11"/>
        <v/>
      </c>
      <c r="S142" s="122"/>
      <c r="T142" s="120"/>
      <c r="U142" s="120"/>
      <c r="V142" s="63"/>
      <c r="Z142" s="64"/>
    </row>
    <row r="143" spans="1:26" hidden="1" x14ac:dyDescent="0.3">
      <c r="A143" s="8">
        <v>203</v>
      </c>
      <c r="B143" s="8" t="s">
        <v>468</v>
      </c>
      <c r="C143" s="9" t="s">
        <v>8</v>
      </c>
      <c r="D143" s="10" t="s">
        <v>415</v>
      </c>
      <c r="E143" s="30" t="s">
        <v>416</v>
      </c>
      <c r="F143" s="12" t="s">
        <v>4</v>
      </c>
      <c r="G143" s="12" t="s">
        <v>16</v>
      </c>
      <c r="H143" s="12"/>
      <c r="I143" s="173" t="s">
        <v>511</v>
      </c>
      <c r="J143" s="12">
        <v>4</v>
      </c>
      <c r="K143" s="151" t="s">
        <v>496</v>
      </c>
      <c r="L143" s="9" t="s">
        <v>258</v>
      </c>
      <c r="M143" s="160"/>
      <c r="N143" s="9" t="s">
        <v>258</v>
      </c>
      <c r="O143" s="9"/>
      <c r="Q143" s="118" t="str">
        <f t="shared" si="10"/>
        <v/>
      </c>
      <c r="R143" s="118">
        <f t="shared" si="11"/>
        <v>4</v>
      </c>
      <c r="S143" s="122"/>
      <c r="T143" s="120"/>
      <c r="U143" s="120"/>
      <c r="V143" s="63"/>
      <c r="Z143" s="64"/>
    </row>
    <row r="144" spans="1:26" hidden="1" x14ac:dyDescent="0.3">
      <c r="A144" s="8">
        <v>204</v>
      </c>
      <c r="B144" s="8" t="s">
        <v>468</v>
      </c>
      <c r="C144" s="9" t="s">
        <v>8</v>
      </c>
      <c r="D144" s="10" t="s">
        <v>418</v>
      </c>
      <c r="E144" s="30" t="s">
        <v>419</v>
      </c>
      <c r="F144" s="12" t="s">
        <v>4</v>
      </c>
      <c r="G144" s="12" t="s">
        <v>16</v>
      </c>
      <c r="H144" s="12"/>
      <c r="I144" s="173" t="s">
        <v>511</v>
      </c>
      <c r="J144" s="12">
        <v>4</v>
      </c>
      <c r="K144" s="151" t="s">
        <v>496</v>
      </c>
      <c r="L144" s="9" t="s">
        <v>258</v>
      </c>
      <c r="M144" s="160"/>
      <c r="N144" s="9" t="s">
        <v>258</v>
      </c>
      <c r="O144" s="9"/>
      <c r="Q144" s="118" t="str">
        <f t="shared" si="10"/>
        <v/>
      </c>
      <c r="R144" s="118">
        <f t="shared" si="11"/>
        <v>4</v>
      </c>
      <c r="S144" s="122"/>
      <c r="T144" s="120"/>
      <c r="U144" s="120"/>
      <c r="V144" s="63"/>
      <c r="Z144" s="64"/>
    </row>
    <row r="145" spans="1:26" hidden="1" x14ac:dyDescent="0.3">
      <c r="A145" s="8">
        <v>164</v>
      </c>
      <c r="B145" s="8" t="s">
        <v>468</v>
      </c>
      <c r="C145" s="9" t="s">
        <v>8</v>
      </c>
      <c r="D145" s="10" t="s">
        <v>343</v>
      </c>
      <c r="E145" s="30" t="s">
        <v>344</v>
      </c>
      <c r="F145" s="12" t="s">
        <v>4</v>
      </c>
      <c r="G145" s="12" t="s">
        <v>16</v>
      </c>
      <c r="H145" s="12"/>
      <c r="I145" s="9" t="s">
        <v>13</v>
      </c>
      <c r="J145" s="12">
        <v>4</v>
      </c>
      <c r="K145" s="8" t="s">
        <v>261</v>
      </c>
      <c r="L145" s="9" t="s">
        <v>258</v>
      </c>
      <c r="M145" s="160"/>
      <c r="N145" s="9" t="s">
        <v>258</v>
      </c>
      <c r="O145" s="9"/>
      <c r="P145" s="10"/>
      <c r="Q145" s="118">
        <f t="shared" si="10"/>
        <v>4</v>
      </c>
      <c r="R145" s="118" t="str">
        <f t="shared" si="11"/>
        <v/>
      </c>
      <c r="S145" s="122"/>
      <c r="T145" s="120"/>
      <c r="U145" s="120"/>
      <c r="V145" s="63"/>
      <c r="Z145" s="64"/>
    </row>
    <row r="146" spans="1:26" hidden="1" x14ac:dyDescent="0.3">
      <c r="A146" s="8">
        <v>205</v>
      </c>
      <c r="B146" s="8" t="s">
        <v>468</v>
      </c>
      <c r="C146" s="9" t="s">
        <v>8</v>
      </c>
      <c r="D146" s="10" t="s">
        <v>421</v>
      </c>
      <c r="E146" s="30" t="s">
        <v>422</v>
      </c>
      <c r="F146" s="12" t="s">
        <v>4</v>
      </c>
      <c r="G146" s="12" t="s">
        <v>16</v>
      </c>
      <c r="H146" s="12" t="s">
        <v>502</v>
      </c>
      <c r="I146" s="173" t="s">
        <v>511</v>
      </c>
      <c r="J146" s="12">
        <v>4</v>
      </c>
      <c r="K146" s="151" t="s">
        <v>496</v>
      </c>
      <c r="L146" s="9" t="s">
        <v>258</v>
      </c>
      <c r="M146" s="160"/>
      <c r="N146" s="9" t="s">
        <v>258</v>
      </c>
      <c r="O146" s="9"/>
      <c r="Q146" s="118" t="str">
        <f t="shared" si="10"/>
        <v/>
      </c>
      <c r="R146" s="118">
        <f t="shared" si="11"/>
        <v>4</v>
      </c>
      <c r="S146" s="122"/>
      <c r="T146" s="120"/>
      <c r="U146" s="120"/>
      <c r="V146" s="63"/>
      <c r="Z146" s="64"/>
    </row>
    <row r="147" spans="1:26" hidden="1" x14ac:dyDescent="0.3">
      <c r="A147" s="8">
        <v>206</v>
      </c>
      <c r="B147" s="8" t="s">
        <v>468</v>
      </c>
      <c r="C147" s="9" t="s">
        <v>8</v>
      </c>
      <c r="D147" s="10" t="s">
        <v>424</v>
      </c>
      <c r="E147" s="30" t="s">
        <v>425</v>
      </c>
      <c r="F147" s="12" t="s">
        <v>4</v>
      </c>
      <c r="G147" s="12" t="s">
        <v>16</v>
      </c>
      <c r="H147" s="12"/>
      <c r="I147" s="173" t="s">
        <v>511</v>
      </c>
      <c r="J147" s="12">
        <v>4</v>
      </c>
      <c r="K147" s="151" t="s">
        <v>496</v>
      </c>
      <c r="L147" s="9" t="s">
        <v>258</v>
      </c>
      <c r="M147" s="160"/>
      <c r="N147" s="9" t="s">
        <v>258</v>
      </c>
      <c r="O147" s="9"/>
      <c r="Q147" s="118" t="str">
        <f t="shared" si="10"/>
        <v/>
      </c>
      <c r="R147" s="118">
        <f t="shared" si="11"/>
        <v>4</v>
      </c>
      <c r="S147" s="122"/>
      <c r="T147" s="120"/>
      <c r="U147" s="120"/>
      <c r="V147" s="63"/>
      <c r="Z147" s="64"/>
    </row>
    <row r="148" spans="1:26" hidden="1" x14ac:dyDescent="0.3">
      <c r="A148" s="8">
        <v>207</v>
      </c>
      <c r="B148" s="8" t="s">
        <v>468</v>
      </c>
      <c r="C148" s="9" t="s">
        <v>8</v>
      </c>
      <c r="D148" s="10" t="s">
        <v>427</v>
      </c>
      <c r="E148" s="30" t="s">
        <v>428</v>
      </c>
      <c r="F148" s="12" t="s">
        <v>4</v>
      </c>
      <c r="G148" s="12" t="s">
        <v>16</v>
      </c>
      <c r="H148" s="12"/>
      <c r="I148" s="173" t="s">
        <v>511</v>
      </c>
      <c r="J148" s="12">
        <v>4</v>
      </c>
      <c r="K148" s="151" t="s">
        <v>496</v>
      </c>
      <c r="L148" s="9" t="s">
        <v>258</v>
      </c>
      <c r="M148" s="160"/>
      <c r="N148" s="9" t="s">
        <v>258</v>
      </c>
      <c r="O148" s="9"/>
      <c r="Q148" s="118" t="str">
        <f t="shared" si="10"/>
        <v/>
      </c>
      <c r="R148" s="118">
        <f t="shared" si="11"/>
        <v>4</v>
      </c>
      <c r="S148" s="122"/>
      <c r="T148" s="120"/>
      <c r="U148" s="120"/>
      <c r="V148" s="63"/>
      <c r="Z148" s="64"/>
    </row>
    <row r="149" spans="1:26" hidden="1" x14ac:dyDescent="0.3">
      <c r="A149" s="8">
        <v>165</v>
      </c>
      <c r="B149" s="8" t="s">
        <v>468</v>
      </c>
      <c r="C149" s="9" t="s">
        <v>8</v>
      </c>
      <c r="D149" s="10" t="s">
        <v>345</v>
      </c>
      <c r="E149" s="30" t="s">
        <v>346</v>
      </c>
      <c r="F149" s="12" t="s">
        <v>4</v>
      </c>
      <c r="G149" s="12" t="s">
        <v>16</v>
      </c>
      <c r="H149" s="12"/>
      <c r="I149" s="9" t="s">
        <v>13</v>
      </c>
      <c r="J149" s="12">
        <v>4</v>
      </c>
      <c r="K149" s="8" t="s">
        <v>261</v>
      </c>
      <c r="L149" s="9" t="s">
        <v>258</v>
      </c>
      <c r="M149" s="160"/>
      <c r="N149" s="9" t="s">
        <v>258</v>
      </c>
      <c r="O149" s="9"/>
      <c r="P149" s="10"/>
      <c r="Q149" s="118">
        <f t="shared" si="10"/>
        <v>4</v>
      </c>
      <c r="R149" s="118" t="str">
        <f t="shared" si="11"/>
        <v/>
      </c>
      <c r="S149" s="122"/>
      <c r="T149" s="120"/>
      <c r="U149" s="120"/>
      <c r="V149" s="63"/>
      <c r="Z149" s="64"/>
    </row>
    <row r="150" spans="1:26" hidden="1" x14ac:dyDescent="0.3">
      <c r="A150" s="8">
        <v>166</v>
      </c>
      <c r="B150" s="8" t="s">
        <v>468</v>
      </c>
      <c r="C150" s="9" t="s">
        <v>8</v>
      </c>
      <c r="D150" s="10" t="s">
        <v>347</v>
      </c>
      <c r="E150" s="30" t="s">
        <v>348</v>
      </c>
      <c r="F150" s="12" t="s">
        <v>4</v>
      </c>
      <c r="G150" s="12" t="s">
        <v>16</v>
      </c>
      <c r="H150" s="12"/>
      <c r="I150" s="9" t="s">
        <v>13</v>
      </c>
      <c r="J150" s="12">
        <v>4</v>
      </c>
      <c r="K150" s="8" t="s">
        <v>261</v>
      </c>
      <c r="L150" s="9" t="s">
        <v>258</v>
      </c>
      <c r="M150" s="160"/>
      <c r="N150" s="9" t="s">
        <v>258</v>
      </c>
      <c r="O150" s="9"/>
      <c r="P150" s="10"/>
      <c r="Q150" s="118">
        <f t="shared" si="10"/>
        <v>4</v>
      </c>
      <c r="R150" s="118" t="str">
        <f t="shared" si="11"/>
        <v/>
      </c>
      <c r="S150" s="122"/>
      <c r="T150" s="120"/>
      <c r="U150" s="120"/>
      <c r="V150" s="63"/>
      <c r="Z150" s="64"/>
    </row>
    <row r="151" spans="1:26" hidden="1" x14ac:dyDescent="0.3">
      <c r="A151" s="8">
        <v>167</v>
      </c>
      <c r="B151" s="8" t="s">
        <v>468</v>
      </c>
      <c r="C151" s="9" t="s">
        <v>8</v>
      </c>
      <c r="D151" s="10" t="s">
        <v>349</v>
      </c>
      <c r="E151" s="30" t="s">
        <v>350</v>
      </c>
      <c r="F151" s="12" t="s">
        <v>4</v>
      </c>
      <c r="G151" s="12" t="s">
        <v>16</v>
      </c>
      <c r="H151" s="12"/>
      <c r="I151" s="9" t="s">
        <v>13</v>
      </c>
      <c r="J151" s="12">
        <v>3</v>
      </c>
      <c r="K151" s="8" t="s">
        <v>261</v>
      </c>
      <c r="L151" s="9" t="s">
        <v>258</v>
      </c>
      <c r="M151" s="160"/>
      <c r="N151" s="9" t="s">
        <v>258</v>
      </c>
      <c r="O151" s="9"/>
      <c r="P151" s="10"/>
      <c r="Q151" s="118">
        <f t="shared" si="10"/>
        <v>3</v>
      </c>
      <c r="R151" s="118" t="str">
        <f t="shared" si="11"/>
        <v/>
      </c>
      <c r="S151" s="122"/>
      <c r="T151" s="120"/>
      <c r="U151" s="120"/>
      <c r="V151" s="63"/>
      <c r="Z151" s="64"/>
    </row>
    <row r="152" spans="1:26" hidden="1" x14ac:dyDescent="0.3">
      <c r="A152" s="8">
        <v>168</v>
      </c>
      <c r="B152" s="8" t="s">
        <v>468</v>
      </c>
      <c r="C152" s="9" t="s">
        <v>8</v>
      </c>
      <c r="D152" s="10" t="s">
        <v>351</v>
      </c>
      <c r="E152" s="30" t="s">
        <v>352</v>
      </c>
      <c r="F152" s="12" t="s">
        <v>4</v>
      </c>
      <c r="G152" s="12" t="s">
        <v>16</v>
      </c>
      <c r="H152" s="12"/>
      <c r="I152" s="9" t="s">
        <v>13</v>
      </c>
      <c r="J152" s="12">
        <v>3</v>
      </c>
      <c r="K152" s="8" t="s">
        <v>261</v>
      </c>
      <c r="L152" s="9" t="s">
        <v>258</v>
      </c>
      <c r="M152" s="160"/>
      <c r="N152" s="9" t="s">
        <v>258</v>
      </c>
      <c r="O152" s="9"/>
      <c r="P152" s="10"/>
      <c r="Q152" s="118">
        <f t="shared" si="10"/>
        <v>3</v>
      </c>
      <c r="R152" s="118" t="str">
        <f t="shared" si="11"/>
        <v/>
      </c>
      <c r="S152" s="122"/>
      <c r="T152" s="120"/>
      <c r="U152" s="120"/>
      <c r="V152" s="63"/>
      <c r="Z152" s="64"/>
    </row>
    <row r="153" spans="1:26" hidden="1" x14ac:dyDescent="0.3">
      <c r="A153" s="8">
        <v>169</v>
      </c>
      <c r="B153" s="8" t="s">
        <v>468</v>
      </c>
      <c r="C153" s="9" t="s">
        <v>8</v>
      </c>
      <c r="D153" s="10" t="s">
        <v>353</v>
      </c>
      <c r="E153" s="30" t="s">
        <v>354</v>
      </c>
      <c r="F153" s="12" t="s">
        <v>4</v>
      </c>
      <c r="G153" s="12" t="s">
        <v>16</v>
      </c>
      <c r="H153" s="12"/>
      <c r="I153" s="9" t="s">
        <v>13</v>
      </c>
      <c r="J153" s="12">
        <v>6</v>
      </c>
      <c r="K153" s="8" t="s">
        <v>261</v>
      </c>
      <c r="L153" s="9" t="s">
        <v>258</v>
      </c>
      <c r="M153" s="160"/>
      <c r="N153" s="9" t="s">
        <v>258</v>
      </c>
      <c r="O153" s="9"/>
      <c r="P153" s="10"/>
      <c r="Q153" s="118">
        <f t="shared" si="10"/>
        <v>6</v>
      </c>
      <c r="R153" s="118" t="str">
        <f t="shared" si="11"/>
        <v/>
      </c>
      <c r="S153" s="122"/>
      <c r="T153" s="120"/>
      <c r="U153" s="120"/>
      <c r="V153" s="63"/>
      <c r="Z153" s="64"/>
    </row>
    <row r="154" spans="1:26" x14ac:dyDescent="0.3">
      <c r="A154" s="8">
        <v>56</v>
      </c>
      <c r="B154" s="8" t="s">
        <v>467</v>
      </c>
      <c r="C154" s="9" t="s">
        <v>8</v>
      </c>
      <c r="D154" s="10" t="s">
        <v>125</v>
      </c>
      <c r="E154" s="11" t="s">
        <v>126</v>
      </c>
      <c r="F154" s="12" t="s">
        <v>4</v>
      </c>
      <c r="G154" s="12" t="s">
        <v>16</v>
      </c>
      <c r="H154" s="12"/>
      <c r="I154" s="9" t="s">
        <v>13</v>
      </c>
      <c r="J154" s="18">
        <v>3</v>
      </c>
      <c r="K154" s="8" t="s">
        <v>261</v>
      </c>
      <c r="L154" s="9" t="s">
        <v>258</v>
      </c>
      <c r="M154" s="160"/>
      <c r="N154" s="9" t="s">
        <v>258</v>
      </c>
      <c r="O154" s="9"/>
      <c r="P154" s="10"/>
      <c r="Q154" s="118">
        <f t="shared" si="10"/>
        <v>3</v>
      </c>
      <c r="R154" s="118" t="str">
        <f t="shared" si="11"/>
        <v/>
      </c>
      <c r="S154" s="122"/>
      <c r="T154" s="120"/>
      <c r="U154" s="121"/>
    </row>
    <row r="155" spans="1:26" x14ac:dyDescent="0.3">
      <c r="A155" s="8">
        <v>4</v>
      </c>
      <c r="B155" s="8" t="s">
        <v>467</v>
      </c>
      <c r="C155" s="9" t="s">
        <v>8</v>
      </c>
      <c r="D155" s="10" t="s">
        <v>19</v>
      </c>
      <c r="E155" s="11" t="s">
        <v>20</v>
      </c>
      <c r="F155" s="12" t="s">
        <v>4</v>
      </c>
      <c r="G155" s="12" t="s">
        <v>16</v>
      </c>
      <c r="H155" s="12"/>
      <c r="I155" s="9" t="s">
        <v>13</v>
      </c>
      <c r="J155" s="12">
        <v>4</v>
      </c>
      <c r="K155" s="68" t="s">
        <v>260</v>
      </c>
      <c r="L155" s="9" t="s">
        <v>258</v>
      </c>
      <c r="M155" s="160"/>
      <c r="N155" s="9" t="s">
        <v>258</v>
      </c>
      <c r="O155" s="9"/>
      <c r="P155" s="10"/>
      <c r="Q155" s="118" t="s">
        <v>472</v>
      </c>
      <c r="R155" s="118">
        <f>J155</f>
        <v>4</v>
      </c>
      <c r="S155" s="122" t="s">
        <v>475</v>
      </c>
      <c r="T155" s="129" t="s">
        <v>492</v>
      </c>
      <c r="U155" s="130">
        <v>8</v>
      </c>
    </row>
    <row r="156" spans="1:26" hidden="1" x14ac:dyDescent="0.3">
      <c r="A156" s="8">
        <v>170</v>
      </c>
      <c r="B156" s="8" t="s">
        <v>468</v>
      </c>
      <c r="C156" s="9" t="s">
        <v>8</v>
      </c>
      <c r="D156" s="10" t="s">
        <v>355</v>
      </c>
      <c r="E156" s="30" t="s">
        <v>356</v>
      </c>
      <c r="F156" s="12" t="s">
        <v>4</v>
      </c>
      <c r="G156" s="12" t="s">
        <v>16</v>
      </c>
      <c r="H156" s="12"/>
      <c r="I156" s="9" t="s">
        <v>13</v>
      </c>
      <c r="J156" s="12">
        <v>4</v>
      </c>
      <c r="K156" s="8" t="s">
        <v>261</v>
      </c>
      <c r="L156" s="9" t="s">
        <v>258</v>
      </c>
      <c r="M156" s="160"/>
      <c r="N156" s="9" t="s">
        <v>258</v>
      </c>
      <c r="O156" s="9"/>
      <c r="P156" s="10"/>
      <c r="Q156" s="118">
        <f t="shared" ref="Q156:Q187" si="12">IF(I156="SI",J156,"")</f>
        <v>4</v>
      </c>
      <c r="R156" s="118" t="str">
        <f t="shared" ref="R156:R187" si="13">IF(I156="SI","",J156)</f>
        <v/>
      </c>
      <c r="S156" s="122"/>
      <c r="T156" s="120"/>
      <c r="U156" s="120"/>
      <c r="V156" s="63"/>
      <c r="Z156" s="64"/>
    </row>
    <row r="157" spans="1:26" hidden="1" x14ac:dyDescent="0.3">
      <c r="A157" s="8">
        <v>171</v>
      </c>
      <c r="B157" s="8" t="s">
        <v>468</v>
      </c>
      <c r="C157" s="9" t="s">
        <v>8</v>
      </c>
      <c r="D157" s="10" t="s">
        <v>357</v>
      </c>
      <c r="E157" s="30" t="s">
        <v>358</v>
      </c>
      <c r="F157" s="12" t="s">
        <v>4</v>
      </c>
      <c r="G157" s="12" t="s">
        <v>16</v>
      </c>
      <c r="H157" s="12"/>
      <c r="I157" s="9" t="s">
        <v>13</v>
      </c>
      <c r="J157" s="12">
        <v>3</v>
      </c>
      <c r="K157" s="8" t="s">
        <v>261</v>
      </c>
      <c r="L157" s="9" t="s">
        <v>258</v>
      </c>
      <c r="M157" s="160"/>
      <c r="N157" s="9" t="s">
        <v>258</v>
      </c>
      <c r="O157" s="9"/>
      <c r="P157" s="10"/>
      <c r="Q157" s="118">
        <f t="shared" si="12"/>
        <v>3</v>
      </c>
      <c r="R157" s="118" t="str">
        <f t="shared" si="13"/>
        <v/>
      </c>
      <c r="S157" s="122"/>
      <c r="T157" s="120"/>
      <c r="U157" s="120"/>
      <c r="V157" s="63"/>
      <c r="Z157" s="64"/>
    </row>
    <row r="158" spans="1:26" hidden="1" x14ac:dyDescent="0.3">
      <c r="A158" s="8">
        <v>172</v>
      </c>
      <c r="B158" s="8" t="s">
        <v>468</v>
      </c>
      <c r="C158" s="9" t="s">
        <v>8</v>
      </c>
      <c r="D158" s="10" t="s">
        <v>359</v>
      </c>
      <c r="E158" s="30" t="s">
        <v>360</v>
      </c>
      <c r="F158" s="12" t="s">
        <v>4</v>
      </c>
      <c r="G158" s="12" t="s">
        <v>16</v>
      </c>
      <c r="H158" s="12"/>
      <c r="I158" s="9" t="s">
        <v>13</v>
      </c>
      <c r="J158" s="12">
        <v>3</v>
      </c>
      <c r="K158" s="8" t="s">
        <v>261</v>
      </c>
      <c r="L158" s="9" t="s">
        <v>258</v>
      </c>
      <c r="M158" s="160"/>
      <c r="N158" s="9" t="s">
        <v>258</v>
      </c>
      <c r="O158" s="9"/>
      <c r="P158" s="10"/>
      <c r="Q158" s="118">
        <f t="shared" si="12"/>
        <v>3</v>
      </c>
      <c r="R158" s="118" t="str">
        <f t="shared" si="13"/>
        <v/>
      </c>
      <c r="S158" s="122"/>
      <c r="T158" s="120"/>
      <c r="U158" s="120"/>
      <c r="V158" s="63"/>
      <c r="Z158" s="64"/>
    </row>
    <row r="159" spans="1:26" hidden="1" x14ac:dyDescent="0.3">
      <c r="A159" s="8">
        <v>173</v>
      </c>
      <c r="B159" s="8" t="s">
        <v>468</v>
      </c>
      <c r="C159" s="9" t="s">
        <v>8</v>
      </c>
      <c r="D159" s="10" t="s">
        <v>361</v>
      </c>
      <c r="E159" s="30" t="s">
        <v>362</v>
      </c>
      <c r="F159" s="12" t="s">
        <v>4</v>
      </c>
      <c r="G159" s="12" t="s">
        <v>16</v>
      </c>
      <c r="H159" s="12"/>
      <c r="I159" s="9" t="s">
        <v>13</v>
      </c>
      <c r="J159" s="12">
        <v>3</v>
      </c>
      <c r="K159" s="8" t="s">
        <v>261</v>
      </c>
      <c r="L159" s="9" t="s">
        <v>258</v>
      </c>
      <c r="M159" s="160"/>
      <c r="N159" s="9" t="s">
        <v>258</v>
      </c>
      <c r="O159" s="9"/>
      <c r="P159" s="10"/>
      <c r="Q159" s="118">
        <f t="shared" si="12"/>
        <v>3</v>
      </c>
      <c r="R159" s="118" t="str">
        <f t="shared" si="13"/>
        <v/>
      </c>
      <c r="S159" s="122"/>
      <c r="T159" s="120"/>
      <c r="U159" s="120"/>
      <c r="V159" s="63"/>
      <c r="Z159" s="64"/>
    </row>
    <row r="160" spans="1:26" hidden="1" x14ac:dyDescent="0.3">
      <c r="A160" s="8">
        <v>174</v>
      </c>
      <c r="B160" s="8" t="s">
        <v>468</v>
      </c>
      <c r="C160" s="9" t="s">
        <v>8</v>
      </c>
      <c r="D160" s="10" t="s">
        <v>363</v>
      </c>
      <c r="E160" s="30" t="s">
        <v>364</v>
      </c>
      <c r="F160" s="12" t="s">
        <v>4</v>
      </c>
      <c r="G160" s="12" t="s">
        <v>16</v>
      </c>
      <c r="H160" s="12"/>
      <c r="I160" s="9" t="s">
        <v>13</v>
      </c>
      <c r="J160" s="12">
        <v>4</v>
      </c>
      <c r="K160" s="8" t="s">
        <v>261</v>
      </c>
      <c r="L160" s="9" t="s">
        <v>258</v>
      </c>
      <c r="M160" s="160"/>
      <c r="N160" s="9" t="s">
        <v>258</v>
      </c>
      <c r="O160" s="9"/>
      <c r="P160" s="10"/>
      <c r="Q160" s="118">
        <f t="shared" si="12"/>
        <v>4</v>
      </c>
      <c r="R160" s="118" t="str">
        <f t="shared" si="13"/>
        <v/>
      </c>
      <c r="S160" s="122"/>
      <c r="T160" s="120"/>
      <c r="U160" s="120"/>
      <c r="V160" s="63"/>
      <c r="Z160" s="64"/>
    </row>
    <row r="161" spans="1:26" hidden="1" x14ac:dyDescent="0.3">
      <c r="A161" s="8">
        <v>175</v>
      </c>
      <c r="B161" s="8" t="s">
        <v>468</v>
      </c>
      <c r="C161" s="9" t="s">
        <v>157</v>
      </c>
      <c r="D161" s="10" t="s">
        <v>365</v>
      </c>
      <c r="E161" s="30">
        <v>3097</v>
      </c>
      <c r="F161" s="12" t="s">
        <v>4</v>
      </c>
      <c r="G161" s="12" t="s">
        <v>16</v>
      </c>
      <c r="H161" s="12"/>
      <c r="I161" s="9" t="s">
        <v>13</v>
      </c>
      <c r="J161" s="12">
        <v>2</v>
      </c>
      <c r="K161" s="8" t="s">
        <v>261</v>
      </c>
      <c r="L161" s="9" t="s">
        <v>258</v>
      </c>
      <c r="M161" s="160"/>
      <c r="N161" s="9" t="s">
        <v>258</v>
      </c>
      <c r="O161" s="9"/>
      <c r="P161" s="10"/>
      <c r="Q161" s="118">
        <f t="shared" si="12"/>
        <v>2</v>
      </c>
      <c r="R161" s="118" t="str">
        <f t="shared" si="13"/>
        <v/>
      </c>
      <c r="S161" s="122"/>
      <c r="T161" s="120"/>
      <c r="U161" s="120"/>
      <c r="V161" s="63"/>
      <c r="Z161" s="64"/>
    </row>
    <row r="162" spans="1:26" hidden="1" x14ac:dyDescent="0.3">
      <c r="A162" s="8">
        <v>176</v>
      </c>
      <c r="B162" s="8" t="s">
        <v>468</v>
      </c>
      <c r="C162" s="9" t="s">
        <v>157</v>
      </c>
      <c r="D162" s="10" t="s">
        <v>366</v>
      </c>
      <c r="E162" s="30">
        <v>4123</v>
      </c>
      <c r="F162" s="12" t="s">
        <v>4</v>
      </c>
      <c r="G162" s="16" t="s">
        <v>16</v>
      </c>
      <c r="H162" s="16"/>
      <c r="I162" s="9" t="s">
        <v>13</v>
      </c>
      <c r="J162" s="12">
        <v>4</v>
      </c>
      <c r="K162" s="8" t="s">
        <v>261</v>
      </c>
      <c r="L162" s="9" t="s">
        <v>258</v>
      </c>
      <c r="M162" s="160"/>
      <c r="N162" s="9" t="s">
        <v>258</v>
      </c>
      <c r="O162" s="9"/>
      <c r="P162" s="10"/>
      <c r="Q162" s="118">
        <f t="shared" si="12"/>
        <v>4</v>
      </c>
      <c r="R162" s="118" t="str">
        <f t="shared" si="13"/>
        <v/>
      </c>
      <c r="S162" s="122"/>
      <c r="T162" s="120"/>
      <c r="U162" s="120"/>
      <c r="V162" s="63"/>
      <c r="Z162" s="64"/>
    </row>
    <row r="163" spans="1:26" hidden="1" x14ac:dyDescent="0.3">
      <c r="A163" s="8">
        <v>177</v>
      </c>
      <c r="B163" s="8" t="s">
        <v>468</v>
      </c>
      <c r="C163" s="9" t="s">
        <v>157</v>
      </c>
      <c r="D163" s="10" t="s">
        <v>367</v>
      </c>
      <c r="E163" s="30">
        <v>4124</v>
      </c>
      <c r="F163" s="12" t="s">
        <v>4</v>
      </c>
      <c r="G163" s="12" t="s">
        <v>16</v>
      </c>
      <c r="H163" s="12"/>
      <c r="I163" s="9" t="s">
        <v>13</v>
      </c>
      <c r="J163" s="12">
        <v>3</v>
      </c>
      <c r="K163" s="67" t="s">
        <v>256</v>
      </c>
      <c r="L163" s="9" t="s">
        <v>258</v>
      </c>
      <c r="M163" s="160"/>
      <c r="N163" s="9" t="s">
        <v>258</v>
      </c>
      <c r="O163" s="9"/>
      <c r="P163" s="10"/>
      <c r="Q163" s="118">
        <f t="shared" si="12"/>
        <v>3</v>
      </c>
      <c r="R163" s="118" t="str">
        <f t="shared" si="13"/>
        <v/>
      </c>
      <c r="S163" s="122"/>
      <c r="T163" s="120"/>
      <c r="U163" s="120"/>
      <c r="V163" s="63"/>
      <c r="Z163" s="64"/>
    </row>
    <row r="164" spans="1:26" hidden="1" x14ac:dyDescent="0.3">
      <c r="A164" s="8">
        <v>178</v>
      </c>
      <c r="B164" s="8" t="s">
        <v>468</v>
      </c>
      <c r="C164" s="9" t="s">
        <v>157</v>
      </c>
      <c r="D164" s="10" t="s">
        <v>368</v>
      </c>
      <c r="E164" s="30">
        <v>4006</v>
      </c>
      <c r="F164" s="12" t="s">
        <v>4</v>
      </c>
      <c r="G164" s="12" t="s">
        <v>16</v>
      </c>
      <c r="H164" s="12"/>
      <c r="I164" s="9" t="s">
        <v>13</v>
      </c>
      <c r="J164" s="18">
        <v>4</v>
      </c>
      <c r="K164" s="67" t="s">
        <v>256</v>
      </c>
      <c r="L164" s="9" t="s">
        <v>258</v>
      </c>
      <c r="M164" s="160"/>
      <c r="N164" s="9" t="s">
        <v>258</v>
      </c>
      <c r="O164" s="9"/>
      <c r="P164" s="10"/>
      <c r="Q164" s="118">
        <f t="shared" si="12"/>
        <v>4</v>
      </c>
      <c r="R164" s="118" t="str">
        <f t="shared" si="13"/>
        <v/>
      </c>
      <c r="S164" s="122"/>
      <c r="T164" s="120"/>
      <c r="U164" s="120"/>
      <c r="V164" s="63"/>
      <c r="Z164" s="64"/>
    </row>
    <row r="165" spans="1:26" x14ac:dyDescent="0.3">
      <c r="A165" s="8">
        <v>74</v>
      </c>
      <c r="B165" s="8" t="s">
        <v>467</v>
      </c>
      <c r="C165" s="9" t="s">
        <v>157</v>
      </c>
      <c r="D165" s="10" t="s">
        <v>162</v>
      </c>
      <c r="E165" s="30">
        <v>15071</v>
      </c>
      <c r="F165" s="12" t="s">
        <v>4</v>
      </c>
      <c r="G165" s="16" t="s">
        <v>16</v>
      </c>
      <c r="H165" s="16"/>
      <c r="I165" s="9" t="s">
        <v>13</v>
      </c>
      <c r="J165" s="12">
        <v>3</v>
      </c>
      <c r="K165" s="8" t="s">
        <v>261</v>
      </c>
      <c r="L165" s="9" t="s">
        <v>258</v>
      </c>
      <c r="M165" s="160"/>
      <c r="N165" s="9" t="s">
        <v>258</v>
      </c>
      <c r="O165" s="9"/>
      <c r="Q165" s="118">
        <f t="shared" si="12"/>
        <v>3</v>
      </c>
      <c r="R165" s="118" t="str">
        <f t="shared" si="13"/>
        <v/>
      </c>
      <c r="S165" s="122"/>
      <c r="T165" s="120"/>
      <c r="U165" s="121"/>
    </row>
    <row r="166" spans="1:26" x14ac:dyDescent="0.3">
      <c r="A166" s="8">
        <v>75</v>
      </c>
      <c r="B166" s="8" t="s">
        <v>467</v>
      </c>
      <c r="C166" s="9" t="s">
        <v>157</v>
      </c>
      <c r="D166" s="10" t="s">
        <v>163</v>
      </c>
      <c r="E166" s="30">
        <v>15080</v>
      </c>
      <c r="F166" s="12" t="s">
        <v>4</v>
      </c>
      <c r="G166" s="16" t="s">
        <v>16</v>
      </c>
      <c r="H166" s="16"/>
      <c r="I166" s="9" t="s">
        <v>13</v>
      </c>
      <c r="J166" s="12">
        <v>4</v>
      </c>
      <c r="K166" s="8" t="s">
        <v>261</v>
      </c>
      <c r="L166" s="9" t="s">
        <v>258</v>
      </c>
      <c r="M166" s="160"/>
      <c r="N166" s="9" t="s">
        <v>258</v>
      </c>
      <c r="O166" s="9"/>
      <c r="Q166" s="118">
        <f t="shared" si="12"/>
        <v>4</v>
      </c>
      <c r="R166" s="118" t="str">
        <f t="shared" si="13"/>
        <v/>
      </c>
      <c r="S166" s="122"/>
      <c r="T166" s="120"/>
      <c r="U166" s="121"/>
    </row>
    <row r="167" spans="1:26" x14ac:dyDescent="0.3">
      <c r="A167" s="8">
        <v>76</v>
      </c>
      <c r="B167" s="8" t="s">
        <v>467</v>
      </c>
      <c r="C167" s="9" t="s">
        <v>157</v>
      </c>
      <c r="D167" s="10" t="s">
        <v>164</v>
      </c>
      <c r="E167" s="30">
        <v>15076</v>
      </c>
      <c r="F167" s="12" t="s">
        <v>4</v>
      </c>
      <c r="G167" s="16" t="s">
        <v>16</v>
      </c>
      <c r="H167" s="16"/>
      <c r="I167" s="9" t="s">
        <v>13</v>
      </c>
      <c r="J167" s="12">
        <v>2</v>
      </c>
      <c r="K167" s="8" t="s">
        <v>261</v>
      </c>
      <c r="L167" s="9" t="s">
        <v>258</v>
      </c>
      <c r="M167" s="160"/>
      <c r="N167" s="9" t="s">
        <v>258</v>
      </c>
      <c r="O167" s="9"/>
      <c r="Q167" s="118">
        <f t="shared" si="12"/>
        <v>2</v>
      </c>
      <c r="R167" s="118" t="str">
        <f t="shared" si="13"/>
        <v/>
      </c>
      <c r="S167" s="122"/>
      <c r="T167" s="120"/>
      <c r="U167" s="121"/>
    </row>
    <row r="168" spans="1:26" hidden="1" x14ac:dyDescent="0.3">
      <c r="A168" s="8">
        <v>179</v>
      </c>
      <c r="B168" s="8" t="s">
        <v>468</v>
      </c>
      <c r="C168" s="9" t="s">
        <v>157</v>
      </c>
      <c r="D168" s="10" t="s">
        <v>369</v>
      </c>
      <c r="E168" s="30">
        <v>2079</v>
      </c>
      <c r="F168" s="12" t="s">
        <v>4</v>
      </c>
      <c r="G168" s="16" t="s">
        <v>16</v>
      </c>
      <c r="H168" s="16"/>
      <c r="I168" s="9" t="s">
        <v>13</v>
      </c>
      <c r="J168" s="12">
        <v>2</v>
      </c>
      <c r="K168" s="67" t="s">
        <v>256</v>
      </c>
      <c r="L168" s="9" t="s">
        <v>258</v>
      </c>
      <c r="M168" s="160"/>
      <c r="N168" s="9" t="s">
        <v>258</v>
      </c>
      <c r="O168" s="9"/>
      <c r="P168" s="10"/>
      <c r="Q168" s="118">
        <f t="shared" si="12"/>
        <v>2</v>
      </c>
      <c r="R168" s="118" t="str">
        <f t="shared" si="13"/>
        <v/>
      </c>
      <c r="S168" s="122"/>
      <c r="T168" s="120"/>
      <c r="U168" s="120"/>
      <c r="V168" s="63"/>
      <c r="Z168" s="64"/>
    </row>
    <row r="169" spans="1:26" hidden="1" x14ac:dyDescent="0.3">
      <c r="A169" s="8">
        <v>180</v>
      </c>
      <c r="B169" s="8" t="s">
        <v>468</v>
      </c>
      <c r="C169" s="9" t="s">
        <v>157</v>
      </c>
      <c r="D169" s="10" t="s">
        <v>370</v>
      </c>
      <c r="E169" s="30">
        <v>2011</v>
      </c>
      <c r="F169" s="12" t="s">
        <v>4</v>
      </c>
      <c r="G169" s="16" t="s">
        <v>16</v>
      </c>
      <c r="H169" s="16"/>
      <c r="I169" s="9" t="s">
        <v>13</v>
      </c>
      <c r="J169" s="12">
        <v>6</v>
      </c>
      <c r="K169" s="8" t="s">
        <v>261</v>
      </c>
      <c r="L169" s="9" t="s">
        <v>258</v>
      </c>
      <c r="M169" s="160"/>
      <c r="N169" s="9" t="s">
        <v>258</v>
      </c>
      <c r="O169" s="9"/>
      <c r="P169" s="10"/>
      <c r="Q169" s="118">
        <f t="shared" si="12"/>
        <v>6</v>
      </c>
      <c r="R169" s="118" t="str">
        <f t="shared" si="13"/>
        <v/>
      </c>
      <c r="S169" s="122"/>
      <c r="T169" s="120"/>
      <c r="U169" s="120"/>
      <c r="V169" s="63"/>
      <c r="Z169" s="64"/>
    </row>
    <row r="170" spans="1:26" hidden="1" x14ac:dyDescent="0.3">
      <c r="A170" s="8">
        <v>181</v>
      </c>
      <c r="B170" s="8" t="s">
        <v>468</v>
      </c>
      <c r="C170" s="9" t="s">
        <v>157</v>
      </c>
      <c r="D170" s="10" t="s">
        <v>371</v>
      </c>
      <c r="E170" s="30">
        <v>4140</v>
      </c>
      <c r="F170" s="12" t="s">
        <v>4</v>
      </c>
      <c r="G170" s="16" t="s">
        <v>16</v>
      </c>
      <c r="H170" s="16"/>
      <c r="I170" s="9" t="s">
        <v>13</v>
      </c>
      <c r="J170" s="12">
        <v>2</v>
      </c>
      <c r="K170" s="67" t="s">
        <v>256</v>
      </c>
      <c r="L170" s="9" t="s">
        <v>258</v>
      </c>
      <c r="M170" s="160"/>
      <c r="N170" s="9" t="s">
        <v>258</v>
      </c>
      <c r="O170" s="9"/>
      <c r="P170" s="10"/>
      <c r="Q170" s="118">
        <f t="shared" si="12"/>
        <v>2</v>
      </c>
      <c r="R170" s="118" t="str">
        <f t="shared" si="13"/>
        <v/>
      </c>
      <c r="S170" s="122"/>
      <c r="T170" s="120"/>
      <c r="U170" s="120"/>
      <c r="V170" s="63"/>
      <c r="Z170" s="64"/>
    </row>
    <row r="171" spans="1:26" hidden="1" x14ac:dyDescent="0.3">
      <c r="A171" s="8">
        <v>182</v>
      </c>
      <c r="B171" s="8" t="s">
        <v>468</v>
      </c>
      <c r="C171" s="9" t="s">
        <v>157</v>
      </c>
      <c r="D171" s="10" t="s">
        <v>372</v>
      </c>
      <c r="E171" s="30">
        <v>5106</v>
      </c>
      <c r="F171" s="12" t="s">
        <v>4</v>
      </c>
      <c r="G171" s="16" t="s">
        <v>16</v>
      </c>
      <c r="H171" s="16"/>
      <c r="I171" s="9" t="s">
        <v>13</v>
      </c>
      <c r="J171" s="12">
        <v>2</v>
      </c>
      <c r="K171" s="8" t="s">
        <v>261</v>
      </c>
      <c r="L171" s="9" t="s">
        <v>258</v>
      </c>
      <c r="M171" s="160"/>
      <c r="N171" s="9" t="s">
        <v>258</v>
      </c>
      <c r="O171" s="9"/>
      <c r="P171" s="10"/>
      <c r="Q171" s="118">
        <f t="shared" si="12"/>
        <v>2</v>
      </c>
      <c r="R171" s="118" t="str">
        <f t="shared" si="13"/>
        <v/>
      </c>
      <c r="S171" s="122"/>
      <c r="T171" s="120"/>
      <c r="U171" s="120"/>
      <c r="V171" s="63"/>
      <c r="Z171" s="64"/>
    </row>
    <row r="172" spans="1:26" x14ac:dyDescent="0.3">
      <c r="A172" s="8">
        <v>77</v>
      </c>
      <c r="B172" s="8" t="s">
        <v>467</v>
      </c>
      <c r="C172" s="9" t="s">
        <v>157</v>
      </c>
      <c r="D172" s="10" t="s">
        <v>165</v>
      </c>
      <c r="E172" s="30">
        <v>20061</v>
      </c>
      <c r="F172" s="12" t="s">
        <v>4</v>
      </c>
      <c r="G172" s="16" t="s">
        <v>16</v>
      </c>
      <c r="H172" s="16"/>
      <c r="I172" s="9" t="s">
        <v>13</v>
      </c>
      <c r="J172" s="12">
        <v>2</v>
      </c>
      <c r="K172" s="8" t="s">
        <v>261</v>
      </c>
      <c r="L172" s="9" t="s">
        <v>258</v>
      </c>
      <c r="M172" s="160"/>
      <c r="N172" s="9" t="s">
        <v>258</v>
      </c>
      <c r="O172" s="9"/>
      <c r="Q172" s="118">
        <f t="shared" si="12"/>
        <v>2</v>
      </c>
      <c r="R172" s="118" t="str">
        <f t="shared" si="13"/>
        <v/>
      </c>
      <c r="S172" s="122"/>
      <c r="T172" s="120"/>
      <c r="U172" s="121"/>
    </row>
    <row r="173" spans="1:26" x14ac:dyDescent="0.3">
      <c r="A173" s="8">
        <v>78</v>
      </c>
      <c r="B173" s="8" t="s">
        <v>467</v>
      </c>
      <c r="C173" s="9" t="s">
        <v>157</v>
      </c>
      <c r="D173" s="10" t="s">
        <v>166</v>
      </c>
      <c r="E173" s="30">
        <v>20036</v>
      </c>
      <c r="F173" s="12" t="s">
        <v>4</v>
      </c>
      <c r="G173" s="16" t="s">
        <v>16</v>
      </c>
      <c r="H173" s="16"/>
      <c r="I173" s="9" t="s">
        <v>13</v>
      </c>
      <c r="J173" s="12">
        <v>3</v>
      </c>
      <c r="K173" s="8" t="s">
        <v>261</v>
      </c>
      <c r="L173" s="9" t="s">
        <v>258</v>
      </c>
      <c r="M173" s="160"/>
      <c r="N173" s="9" t="s">
        <v>258</v>
      </c>
      <c r="O173" s="9"/>
      <c r="Q173" s="118">
        <f t="shared" si="12"/>
        <v>3</v>
      </c>
      <c r="R173" s="118" t="str">
        <f t="shared" si="13"/>
        <v/>
      </c>
      <c r="S173" s="122"/>
      <c r="T173" s="120"/>
      <c r="U173" s="121"/>
    </row>
    <row r="174" spans="1:26" x14ac:dyDescent="0.3">
      <c r="A174" s="8">
        <v>79</v>
      </c>
      <c r="B174" s="8" t="s">
        <v>467</v>
      </c>
      <c r="C174" s="9" t="s">
        <v>157</v>
      </c>
      <c r="D174" s="10" t="s">
        <v>167</v>
      </c>
      <c r="E174" s="30">
        <v>17061</v>
      </c>
      <c r="F174" s="12" t="s">
        <v>4</v>
      </c>
      <c r="G174" s="16" t="s">
        <v>16</v>
      </c>
      <c r="H174" s="16"/>
      <c r="I174" s="9" t="s">
        <v>13</v>
      </c>
      <c r="J174" s="12">
        <v>3</v>
      </c>
      <c r="K174" s="8" t="s">
        <v>261</v>
      </c>
      <c r="L174" s="9" t="s">
        <v>258</v>
      </c>
      <c r="M174" s="160"/>
      <c r="N174" s="9" t="s">
        <v>258</v>
      </c>
      <c r="O174" s="9"/>
      <c r="Q174" s="118">
        <f t="shared" si="12"/>
        <v>3</v>
      </c>
      <c r="R174" s="118" t="str">
        <f t="shared" si="13"/>
        <v/>
      </c>
      <c r="S174" s="122"/>
      <c r="T174" s="120"/>
      <c r="U174" s="121"/>
    </row>
    <row r="175" spans="1:26" x14ac:dyDescent="0.3">
      <c r="A175" s="8">
        <v>80</v>
      </c>
      <c r="B175" s="8" t="s">
        <v>467</v>
      </c>
      <c r="C175" s="9" t="s">
        <v>157</v>
      </c>
      <c r="D175" s="10" t="s">
        <v>168</v>
      </c>
      <c r="E175" s="30">
        <v>17047</v>
      </c>
      <c r="F175" s="12" t="s">
        <v>4</v>
      </c>
      <c r="G175" s="16" t="s">
        <v>16</v>
      </c>
      <c r="H175" s="16"/>
      <c r="I175" s="9" t="s">
        <v>13</v>
      </c>
      <c r="J175" s="12">
        <v>4</v>
      </c>
      <c r="K175" s="8" t="s">
        <v>261</v>
      </c>
      <c r="L175" s="9" t="s">
        <v>258</v>
      </c>
      <c r="M175" s="160"/>
      <c r="N175" s="9" t="s">
        <v>258</v>
      </c>
      <c r="O175" s="9"/>
      <c r="Q175" s="118">
        <f t="shared" si="12"/>
        <v>4</v>
      </c>
      <c r="R175" s="118" t="str">
        <f t="shared" si="13"/>
        <v/>
      </c>
      <c r="S175" s="122"/>
      <c r="T175" s="120"/>
      <c r="U175" s="121"/>
    </row>
    <row r="176" spans="1:26" x14ac:dyDescent="0.3">
      <c r="A176" s="8">
        <v>81</v>
      </c>
      <c r="B176" s="8" t="s">
        <v>467</v>
      </c>
      <c r="C176" s="9" t="s">
        <v>157</v>
      </c>
      <c r="D176" s="10" t="s">
        <v>169</v>
      </c>
      <c r="E176" s="30">
        <v>18098</v>
      </c>
      <c r="F176" s="12" t="s">
        <v>4</v>
      </c>
      <c r="G176" s="16" t="s">
        <v>16</v>
      </c>
      <c r="H176" s="16"/>
      <c r="I176" s="9" t="s">
        <v>13</v>
      </c>
      <c r="J176" s="12">
        <v>2</v>
      </c>
      <c r="K176" s="8" t="s">
        <v>261</v>
      </c>
      <c r="L176" s="9" t="s">
        <v>258</v>
      </c>
      <c r="M176" s="160"/>
      <c r="N176" s="9" t="s">
        <v>258</v>
      </c>
      <c r="O176" s="9"/>
      <c r="Q176" s="118">
        <f t="shared" si="12"/>
        <v>2</v>
      </c>
      <c r="R176" s="118" t="str">
        <f t="shared" si="13"/>
        <v/>
      </c>
      <c r="S176" s="122"/>
      <c r="T176" s="120"/>
      <c r="U176" s="121"/>
    </row>
    <row r="177" spans="1:26" x14ac:dyDescent="0.3">
      <c r="A177" s="8">
        <v>82</v>
      </c>
      <c r="B177" s="8" t="s">
        <v>467</v>
      </c>
      <c r="C177" s="9" t="s">
        <v>157</v>
      </c>
      <c r="D177" s="10" t="s">
        <v>170</v>
      </c>
      <c r="E177" s="30">
        <v>18099</v>
      </c>
      <c r="F177" s="12" t="s">
        <v>4</v>
      </c>
      <c r="G177" s="16" t="s">
        <v>16</v>
      </c>
      <c r="H177" s="16"/>
      <c r="I177" s="9" t="s">
        <v>13</v>
      </c>
      <c r="J177" s="12">
        <v>2</v>
      </c>
      <c r="K177" s="8" t="s">
        <v>261</v>
      </c>
      <c r="L177" s="9" t="s">
        <v>258</v>
      </c>
      <c r="M177" s="160"/>
      <c r="N177" s="9" t="s">
        <v>258</v>
      </c>
      <c r="O177" s="9"/>
      <c r="Q177" s="118">
        <f t="shared" si="12"/>
        <v>2</v>
      </c>
      <c r="R177" s="118" t="str">
        <f t="shared" si="13"/>
        <v/>
      </c>
      <c r="S177" s="122"/>
      <c r="T177" s="120"/>
      <c r="U177" s="121"/>
    </row>
    <row r="178" spans="1:26" x14ac:dyDescent="0.3">
      <c r="A178" s="8">
        <v>83</v>
      </c>
      <c r="B178" s="8" t="s">
        <v>467</v>
      </c>
      <c r="C178" s="9" t="s">
        <v>157</v>
      </c>
      <c r="D178" s="10" t="s">
        <v>171</v>
      </c>
      <c r="E178" s="30">
        <v>19077</v>
      </c>
      <c r="F178" s="12" t="s">
        <v>4</v>
      </c>
      <c r="G178" s="16" t="s">
        <v>16</v>
      </c>
      <c r="H178" s="16"/>
      <c r="I178" s="9" t="s">
        <v>13</v>
      </c>
      <c r="J178" s="12">
        <v>2</v>
      </c>
      <c r="K178" s="8" t="s">
        <v>261</v>
      </c>
      <c r="L178" s="9" t="s">
        <v>258</v>
      </c>
      <c r="M178" s="160"/>
      <c r="N178" s="9" t="s">
        <v>258</v>
      </c>
      <c r="O178" s="9"/>
      <c r="Q178" s="118">
        <f t="shared" si="12"/>
        <v>2</v>
      </c>
      <c r="R178" s="118" t="str">
        <f t="shared" si="13"/>
        <v/>
      </c>
      <c r="S178" s="122"/>
      <c r="T178" s="120"/>
      <c r="U178" s="121"/>
    </row>
    <row r="179" spans="1:26" hidden="1" x14ac:dyDescent="0.3">
      <c r="A179" s="8">
        <v>183</v>
      </c>
      <c r="B179" s="8" t="s">
        <v>468</v>
      </c>
      <c r="C179" s="9" t="s">
        <v>157</v>
      </c>
      <c r="D179" s="10" t="s">
        <v>373</v>
      </c>
      <c r="E179" s="30">
        <v>2028</v>
      </c>
      <c r="F179" s="12" t="s">
        <v>4</v>
      </c>
      <c r="G179" s="12" t="s">
        <v>16</v>
      </c>
      <c r="H179" s="12" t="s">
        <v>502</v>
      </c>
      <c r="I179" s="9" t="s">
        <v>13</v>
      </c>
      <c r="J179" s="18">
        <v>3</v>
      </c>
      <c r="K179" s="8" t="s">
        <v>261</v>
      </c>
      <c r="L179" s="9" t="s">
        <v>258</v>
      </c>
      <c r="M179" s="160"/>
      <c r="N179" s="9" t="s">
        <v>258</v>
      </c>
      <c r="O179" s="9"/>
      <c r="P179" s="10"/>
      <c r="Q179" s="118">
        <f t="shared" si="12"/>
        <v>3</v>
      </c>
      <c r="R179" s="118" t="str">
        <f t="shared" si="13"/>
        <v/>
      </c>
      <c r="S179" s="122"/>
      <c r="T179" s="120"/>
      <c r="U179" s="120"/>
      <c r="V179" s="63"/>
      <c r="Z179" s="64"/>
    </row>
    <row r="180" spans="1:26" hidden="1" x14ac:dyDescent="0.3">
      <c r="A180" s="8">
        <v>184</v>
      </c>
      <c r="B180" s="8" t="s">
        <v>468</v>
      </c>
      <c r="C180" s="9" t="s">
        <v>157</v>
      </c>
      <c r="D180" s="10" t="s">
        <v>374</v>
      </c>
      <c r="E180" s="30">
        <v>2029</v>
      </c>
      <c r="F180" s="12" t="s">
        <v>4</v>
      </c>
      <c r="G180" s="12" t="s">
        <v>16</v>
      </c>
      <c r="H180" s="12" t="s">
        <v>502</v>
      </c>
      <c r="I180" s="9" t="s">
        <v>13</v>
      </c>
      <c r="J180" s="19">
        <v>5</v>
      </c>
      <c r="K180" s="8" t="s">
        <v>261</v>
      </c>
      <c r="L180" s="9" t="s">
        <v>258</v>
      </c>
      <c r="M180" s="160"/>
      <c r="N180" s="9" t="s">
        <v>258</v>
      </c>
      <c r="O180" s="9"/>
      <c r="P180" s="10"/>
      <c r="Q180" s="118">
        <f t="shared" si="12"/>
        <v>5</v>
      </c>
      <c r="R180" s="118" t="str">
        <f t="shared" si="13"/>
        <v/>
      </c>
      <c r="S180" s="122"/>
      <c r="T180" s="120"/>
      <c r="U180" s="120"/>
      <c r="V180" s="63"/>
      <c r="Z180" s="64"/>
    </row>
    <row r="181" spans="1:26" hidden="1" x14ac:dyDescent="0.3">
      <c r="A181" s="8">
        <v>185</v>
      </c>
      <c r="B181" s="8" t="s">
        <v>468</v>
      </c>
      <c r="C181" s="9" t="s">
        <v>157</v>
      </c>
      <c r="D181" s="10" t="s">
        <v>375</v>
      </c>
      <c r="E181" s="30">
        <v>2066</v>
      </c>
      <c r="F181" s="12" t="s">
        <v>4</v>
      </c>
      <c r="G181" s="12" t="s">
        <v>16</v>
      </c>
      <c r="H181" s="12" t="s">
        <v>502</v>
      </c>
      <c r="I181" s="9" t="s">
        <v>13</v>
      </c>
      <c r="J181" s="20">
        <v>4</v>
      </c>
      <c r="K181" s="8" t="s">
        <v>261</v>
      </c>
      <c r="L181" s="9" t="s">
        <v>258</v>
      </c>
      <c r="M181" s="160"/>
      <c r="N181" s="9" t="s">
        <v>258</v>
      </c>
      <c r="O181" s="9"/>
      <c r="P181" s="10"/>
      <c r="Q181" s="118">
        <f t="shared" si="12"/>
        <v>4</v>
      </c>
      <c r="R181" s="118" t="str">
        <f t="shared" si="13"/>
        <v/>
      </c>
      <c r="S181" s="122"/>
      <c r="T181" s="120"/>
      <c r="U181" s="120"/>
      <c r="V181" s="63"/>
      <c r="Z181" s="64"/>
    </row>
    <row r="182" spans="1:26" hidden="1" x14ac:dyDescent="0.3">
      <c r="A182" s="8">
        <v>186</v>
      </c>
      <c r="B182" s="8" t="s">
        <v>468</v>
      </c>
      <c r="C182" s="9" t="s">
        <v>157</v>
      </c>
      <c r="D182" s="10" t="s">
        <v>376</v>
      </c>
      <c r="E182" s="30">
        <v>2083</v>
      </c>
      <c r="F182" s="12" t="s">
        <v>4</v>
      </c>
      <c r="G182" s="12" t="s">
        <v>16</v>
      </c>
      <c r="H182" s="12" t="s">
        <v>502</v>
      </c>
      <c r="I182" s="9" t="s">
        <v>13</v>
      </c>
      <c r="J182" s="20">
        <v>3</v>
      </c>
      <c r="K182" s="8" t="s">
        <v>261</v>
      </c>
      <c r="L182" s="9" t="s">
        <v>258</v>
      </c>
      <c r="M182" s="160"/>
      <c r="N182" s="9" t="s">
        <v>258</v>
      </c>
      <c r="O182" s="9"/>
      <c r="P182" s="10"/>
      <c r="Q182" s="118">
        <f t="shared" si="12"/>
        <v>3</v>
      </c>
      <c r="R182" s="118" t="str">
        <f t="shared" si="13"/>
        <v/>
      </c>
      <c r="S182" s="122"/>
      <c r="T182" s="120"/>
      <c r="U182" s="120"/>
      <c r="V182" s="63"/>
      <c r="Z182" s="64"/>
    </row>
    <row r="183" spans="1:26" hidden="1" x14ac:dyDescent="0.3">
      <c r="A183" s="8">
        <v>187</v>
      </c>
      <c r="B183" s="8" t="s">
        <v>468</v>
      </c>
      <c r="C183" s="9" t="s">
        <v>157</v>
      </c>
      <c r="D183" s="10" t="s">
        <v>377</v>
      </c>
      <c r="E183" s="30">
        <v>4020</v>
      </c>
      <c r="F183" s="12" t="s">
        <v>4</v>
      </c>
      <c r="G183" s="12" t="s">
        <v>16</v>
      </c>
      <c r="H183" s="12" t="s">
        <v>502</v>
      </c>
      <c r="I183" s="9" t="s">
        <v>13</v>
      </c>
      <c r="J183" s="12">
        <v>2</v>
      </c>
      <c r="K183" s="8" t="s">
        <v>261</v>
      </c>
      <c r="L183" s="9" t="s">
        <v>258</v>
      </c>
      <c r="M183" s="160"/>
      <c r="N183" s="9" t="s">
        <v>258</v>
      </c>
      <c r="O183" s="9"/>
      <c r="P183" s="10"/>
      <c r="Q183" s="118">
        <f t="shared" si="12"/>
        <v>2</v>
      </c>
      <c r="R183" s="118" t="str">
        <f t="shared" si="13"/>
        <v/>
      </c>
      <c r="S183" s="122"/>
      <c r="T183" s="120"/>
      <c r="U183" s="120"/>
      <c r="V183" s="63"/>
      <c r="Z183" s="64"/>
    </row>
    <row r="184" spans="1:26" hidden="1" x14ac:dyDescent="0.3">
      <c r="A184" s="8">
        <v>188</v>
      </c>
      <c r="B184" s="8" t="s">
        <v>468</v>
      </c>
      <c r="C184" s="9" t="s">
        <v>157</v>
      </c>
      <c r="D184" s="10" t="s">
        <v>378</v>
      </c>
      <c r="E184" s="30">
        <v>6061</v>
      </c>
      <c r="F184" s="12" t="s">
        <v>4</v>
      </c>
      <c r="G184" s="12" t="s">
        <v>16</v>
      </c>
      <c r="H184" s="12" t="s">
        <v>502</v>
      </c>
      <c r="I184" s="9" t="s">
        <v>13</v>
      </c>
      <c r="J184" s="12">
        <v>2</v>
      </c>
      <c r="K184" s="8" t="s">
        <v>261</v>
      </c>
      <c r="L184" s="9" t="s">
        <v>258</v>
      </c>
      <c r="M184" s="160"/>
      <c r="N184" s="9" t="s">
        <v>258</v>
      </c>
      <c r="O184" s="9"/>
      <c r="P184" s="10"/>
      <c r="Q184" s="118">
        <f t="shared" si="12"/>
        <v>2</v>
      </c>
      <c r="R184" s="118" t="str">
        <f t="shared" si="13"/>
        <v/>
      </c>
      <c r="S184" s="122"/>
      <c r="T184" s="120"/>
      <c r="U184" s="120"/>
      <c r="V184" s="63"/>
      <c r="Z184" s="64"/>
    </row>
    <row r="185" spans="1:26" hidden="1" x14ac:dyDescent="0.3">
      <c r="A185" s="8">
        <v>189</v>
      </c>
      <c r="B185" s="8" t="s">
        <v>468</v>
      </c>
      <c r="C185" s="9" t="s">
        <v>157</v>
      </c>
      <c r="D185" s="10" t="s">
        <v>379</v>
      </c>
      <c r="E185" s="30">
        <v>7057</v>
      </c>
      <c r="F185" s="12" t="s">
        <v>4</v>
      </c>
      <c r="G185" s="13" t="s">
        <v>16</v>
      </c>
      <c r="H185" s="13"/>
      <c r="I185" s="9" t="s">
        <v>13</v>
      </c>
      <c r="J185" s="15">
        <v>3</v>
      </c>
      <c r="K185" s="8" t="s">
        <v>261</v>
      </c>
      <c r="L185" s="9" t="s">
        <v>258</v>
      </c>
      <c r="M185" s="160"/>
      <c r="N185" s="9" t="s">
        <v>258</v>
      </c>
      <c r="O185" s="9"/>
      <c r="P185" s="10"/>
      <c r="Q185" s="118">
        <f t="shared" si="12"/>
        <v>3</v>
      </c>
      <c r="R185" s="118" t="str">
        <f t="shared" si="13"/>
        <v/>
      </c>
      <c r="S185" s="122"/>
      <c r="T185" s="120"/>
      <c r="U185" s="120"/>
      <c r="V185" s="63"/>
      <c r="Z185" s="64"/>
    </row>
    <row r="186" spans="1:26" hidden="1" x14ac:dyDescent="0.3">
      <c r="A186" s="8">
        <v>190</v>
      </c>
      <c r="B186" s="8" t="s">
        <v>468</v>
      </c>
      <c r="C186" s="9" t="s">
        <v>157</v>
      </c>
      <c r="D186" s="10" t="s">
        <v>380</v>
      </c>
      <c r="E186" s="30">
        <v>7060</v>
      </c>
      <c r="F186" s="12" t="s">
        <v>4</v>
      </c>
      <c r="G186" s="13" t="s">
        <v>16</v>
      </c>
      <c r="H186" s="13"/>
      <c r="I186" s="9" t="s">
        <v>13</v>
      </c>
      <c r="J186" s="15">
        <v>3</v>
      </c>
      <c r="K186" s="8" t="s">
        <v>261</v>
      </c>
      <c r="L186" s="9" t="s">
        <v>258</v>
      </c>
      <c r="M186" s="160"/>
      <c r="N186" s="9" t="s">
        <v>258</v>
      </c>
      <c r="O186" s="9"/>
      <c r="P186" s="10"/>
      <c r="Q186" s="118">
        <f t="shared" si="12"/>
        <v>3</v>
      </c>
      <c r="R186" s="118" t="str">
        <f t="shared" si="13"/>
        <v/>
      </c>
      <c r="S186" s="122"/>
      <c r="T186" s="120"/>
      <c r="U186" s="120"/>
      <c r="V186" s="63"/>
      <c r="Z186" s="64"/>
    </row>
    <row r="187" spans="1:26" hidden="1" x14ac:dyDescent="0.3">
      <c r="A187" s="8">
        <v>191</v>
      </c>
      <c r="B187" s="8" t="s">
        <v>468</v>
      </c>
      <c r="C187" s="9" t="s">
        <v>157</v>
      </c>
      <c r="D187" s="10" t="s">
        <v>382</v>
      </c>
      <c r="E187" s="30">
        <v>9081</v>
      </c>
      <c r="F187" s="12" t="s">
        <v>4</v>
      </c>
      <c r="G187" s="12" t="s">
        <v>16</v>
      </c>
      <c r="H187" s="12" t="s">
        <v>502</v>
      </c>
      <c r="I187" s="9" t="s">
        <v>13</v>
      </c>
      <c r="J187" s="15">
        <v>4</v>
      </c>
      <c r="K187" s="8" t="s">
        <v>261</v>
      </c>
      <c r="L187" s="9" t="s">
        <v>258</v>
      </c>
      <c r="M187" s="160"/>
      <c r="N187" s="9" t="s">
        <v>258</v>
      </c>
      <c r="O187" s="9"/>
      <c r="Q187" s="118">
        <f t="shared" si="12"/>
        <v>4</v>
      </c>
      <c r="R187" s="118" t="str">
        <f t="shared" si="13"/>
        <v/>
      </c>
      <c r="S187" s="122"/>
      <c r="T187" s="120"/>
      <c r="U187" s="120"/>
      <c r="V187" s="63"/>
      <c r="Z187" s="64"/>
    </row>
    <row r="188" spans="1:26" hidden="1" x14ac:dyDescent="0.3">
      <c r="A188" s="8">
        <v>192</v>
      </c>
      <c r="B188" s="8" t="s">
        <v>468</v>
      </c>
      <c r="C188" s="9" t="s">
        <v>157</v>
      </c>
      <c r="D188" s="10" t="s">
        <v>383</v>
      </c>
      <c r="E188" s="30">
        <v>10099</v>
      </c>
      <c r="F188" s="12" t="s">
        <v>4</v>
      </c>
      <c r="G188" s="12" t="s">
        <v>16</v>
      </c>
      <c r="H188" s="12" t="s">
        <v>502</v>
      </c>
      <c r="I188" s="9" t="s">
        <v>13</v>
      </c>
      <c r="J188" s="15">
        <v>3</v>
      </c>
      <c r="K188" s="8" t="s">
        <v>261</v>
      </c>
      <c r="L188" s="9" t="s">
        <v>258</v>
      </c>
      <c r="M188" s="160"/>
      <c r="N188" s="9" t="s">
        <v>258</v>
      </c>
      <c r="O188" s="9"/>
      <c r="Q188" s="118">
        <f t="shared" ref="Q188:Q221" si="14">IF(I188="SI",J188,"")</f>
        <v>3</v>
      </c>
      <c r="R188" s="118" t="str">
        <f t="shared" ref="R188:R221" si="15">IF(I188="SI","",J188)</f>
        <v/>
      </c>
      <c r="S188" s="122"/>
      <c r="T188" s="120"/>
      <c r="U188" s="120"/>
      <c r="V188" s="63"/>
      <c r="Z188" s="64"/>
    </row>
    <row r="189" spans="1:26" x14ac:dyDescent="0.3">
      <c r="A189" s="8">
        <v>84</v>
      </c>
      <c r="B189" s="8" t="s">
        <v>467</v>
      </c>
      <c r="C189" s="9" t="s">
        <v>157</v>
      </c>
      <c r="D189" s="10" t="s">
        <v>172</v>
      </c>
      <c r="E189" s="30">
        <v>17007</v>
      </c>
      <c r="F189" s="12" t="s">
        <v>4</v>
      </c>
      <c r="G189" s="12" t="s">
        <v>16</v>
      </c>
      <c r="H189" s="12"/>
      <c r="I189" s="9" t="s">
        <v>13</v>
      </c>
      <c r="J189" s="15">
        <v>4</v>
      </c>
      <c r="K189" s="8" t="s">
        <v>261</v>
      </c>
      <c r="L189" s="9" t="s">
        <v>258</v>
      </c>
      <c r="M189" s="160"/>
      <c r="N189" s="9" t="s">
        <v>258</v>
      </c>
      <c r="O189" s="9"/>
      <c r="Q189" s="118">
        <f t="shared" si="14"/>
        <v>4</v>
      </c>
      <c r="R189" s="118" t="str">
        <f t="shared" si="15"/>
        <v/>
      </c>
      <c r="S189" s="122"/>
      <c r="T189" s="120"/>
      <c r="U189" s="121"/>
    </row>
    <row r="190" spans="1:26" x14ac:dyDescent="0.3">
      <c r="A190" s="8">
        <v>85</v>
      </c>
      <c r="B190" s="8" t="s">
        <v>467</v>
      </c>
      <c r="C190" s="9" t="s">
        <v>157</v>
      </c>
      <c r="D190" s="10" t="s">
        <v>173</v>
      </c>
      <c r="E190" s="30">
        <v>1058</v>
      </c>
      <c r="F190" s="12" t="s">
        <v>4</v>
      </c>
      <c r="G190" s="12" t="s">
        <v>16</v>
      </c>
      <c r="H190" s="12"/>
      <c r="I190" s="9" t="s">
        <v>13</v>
      </c>
      <c r="J190" s="15">
        <v>3</v>
      </c>
      <c r="K190" s="8" t="s">
        <v>261</v>
      </c>
      <c r="L190" s="9" t="s">
        <v>258</v>
      </c>
      <c r="M190" s="160"/>
      <c r="N190" s="9" t="s">
        <v>258</v>
      </c>
      <c r="O190" s="9"/>
      <c r="Q190" s="118">
        <f t="shared" si="14"/>
        <v>3</v>
      </c>
      <c r="R190" s="118" t="str">
        <f t="shared" si="15"/>
        <v/>
      </c>
      <c r="S190" s="122"/>
      <c r="T190" s="120"/>
      <c r="U190" s="121"/>
    </row>
    <row r="191" spans="1:26" x14ac:dyDescent="0.3">
      <c r="A191" s="8">
        <v>86</v>
      </c>
      <c r="B191" s="8" t="s">
        <v>467</v>
      </c>
      <c r="C191" s="9" t="s">
        <v>157</v>
      </c>
      <c r="D191" s="10" t="s">
        <v>174</v>
      </c>
      <c r="E191" s="30">
        <v>1059</v>
      </c>
      <c r="F191" s="12" t="s">
        <v>4</v>
      </c>
      <c r="G191" s="12" t="s">
        <v>16</v>
      </c>
      <c r="H191" s="12"/>
      <c r="I191" s="9" t="s">
        <v>13</v>
      </c>
      <c r="J191" s="15">
        <v>4</v>
      </c>
      <c r="K191" s="8" t="s">
        <v>261</v>
      </c>
      <c r="L191" s="9" t="s">
        <v>258</v>
      </c>
      <c r="M191" s="160"/>
      <c r="N191" s="9" t="s">
        <v>258</v>
      </c>
      <c r="O191" s="9"/>
      <c r="Q191" s="118">
        <f t="shared" si="14"/>
        <v>4</v>
      </c>
      <c r="R191" s="118" t="str">
        <f t="shared" si="15"/>
        <v/>
      </c>
      <c r="S191" s="122"/>
      <c r="T191" s="120"/>
      <c r="U191" s="121"/>
    </row>
    <row r="192" spans="1:26" x14ac:dyDescent="0.3">
      <c r="A192" s="8">
        <v>101</v>
      </c>
      <c r="B192" s="8" t="s">
        <v>467</v>
      </c>
      <c r="C192" s="9" t="s">
        <v>157</v>
      </c>
      <c r="D192" s="10" t="s">
        <v>209</v>
      </c>
      <c r="E192" s="30">
        <v>19062</v>
      </c>
      <c r="F192" s="12" t="s">
        <v>4</v>
      </c>
      <c r="G192" s="12" t="s">
        <v>16</v>
      </c>
      <c r="H192" s="12" t="s">
        <v>502</v>
      </c>
      <c r="I192" s="9" t="s">
        <v>178</v>
      </c>
      <c r="J192" s="15">
        <v>3</v>
      </c>
      <c r="K192" s="151" t="s">
        <v>496</v>
      </c>
      <c r="L192" s="9" t="s">
        <v>258</v>
      </c>
      <c r="M192" s="160"/>
      <c r="N192" s="9" t="s">
        <v>258</v>
      </c>
      <c r="O192" s="9"/>
      <c r="Q192" s="118" t="str">
        <f t="shared" si="14"/>
        <v/>
      </c>
      <c r="R192" s="118">
        <f t="shared" si="15"/>
        <v>3</v>
      </c>
      <c r="S192" s="122"/>
      <c r="T192" s="120"/>
      <c r="U192" s="127"/>
    </row>
    <row r="193" spans="1:26" x14ac:dyDescent="0.3">
      <c r="A193" s="8">
        <v>102</v>
      </c>
      <c r="B193" s="8" t="s">
        <v>467</v>
      </c>
      <c r="C193" s="9" t="s">
        <v>157</v>
      </c>
      <c r="D193" s="10" t="s">
        <v>210</v>
      </c>
      <c r="E193" s="30">
        <v>19055</v>
      </c>
      <c r="F193" s="12" t="s">
        <v>4</v>
      </c>
      <c r="G193" s="12" t="s">
        <v>16</v>
      </c>
      <c r="H193" s="12" t="s">
        <v>502</v>
      </c>
      <c r="I193" s="173" t="s">
        <v>511</v>
      </c>
      <c r="J193" s="15">
        <v>2</v>
      </c>
      <c r="K193" s="151" t="s">
        <v>496</v>
      </c>
      <c r="L193" s="9" t="s">
        <v>258</v>
      </c>
      <c r="M193" s="160"/>
      <c r="N193" s="9" t="s">
        <v>258</v>
      </c>
      <c r="O193" s="9"/>
      <c r="Q193" s="118" t="str">
        <f t="shared" si="14"/>
        <v/>
      </c>
      <c r="R193" s="118">
        <f t="shared" si="15"/>
        <v>2</v>
      </c>
      <c r="S193" s="122"/>
      <c r="T193" s="120"/>
      <c r="U193" s="121"/>
    </row>
    <row r="194" spans="1:26" x14ac:dyDescent="0.3">
      <c r="A194" s="8">
        <v>103</v>
      </c>
      <c r="B194" s="8" t="s">
        <v>467</v>
      </c>
      <c r="C194" s="9" t="s">
        <v>157</v>
      </c>
      <c r="D194" s="10" t="s">
        <v>211</v>
      </c>
      <c r="E194" s="30">
        <v>19015</v>
      </c>
      <c r="F194" s="12" t="s">
        <v>4</v>
      </c>
      <c r="G194" s="12" t="s">
        <v>16</v>
      </c>
      <c r="H194" s="12" t="s">
        <v>502</v>
      </c>
      <c r="I194" s="173" t="s">
        <v>511</v>
      </c>
      <c r="J194" s="15">
        <v>4</v>
      </c>
      <c r="K194" s="151" t="s">
        <v>496</v>
      </c>
      <c r="L194" s="9" t="s">
        <v>258</v>
      </c>
      <c r="M194" s="160"/>
      <c r="N194" s="9" t="s">
        <v>258</v>
      </c>
      <c r="O194" s="9"/>
      <c r="Q194" s="118" t="str">
        <f t="shared" si="14"/>
        <v/>
      </c>
      <c r="R194" s="118">
        <f t="shared" si="15"/>
        <v>4</v>
      </c>
      <c r="S194" s="122"/>
      <c r="T194" s="120"/>
      <c r="U194" s="121"/>
    </row>
    <row r="195" spans="1:26" x14ac:dyDescent="0.3">
      <c r="A195" s="8">
        <v>104</v>
      </c>
      <c r="B195" s="8" t="s">
        <v>467</v>
      </c>
      <c r="C195" s="9" t="s">
        <v>157</v>
      </c>
      <c r="D195" s="10" t="s">
        <v>212</v>
      </c>
      <c r="E195" s="30">
        <v>19017</v>
      </c>
      <c r="F195" s="12" t="s">
        <v>4</v>
      </c>
      <c r="G195" s="12" t="s">
        <v>16</v>
      </c>
      <c r="H195" s="12" t="s">
        <v>502</v>
      </c>
      <c r="I195" s="173" t="s">
        <v>511</v>
      </c>
      <c r="J195" s="15">
        <v>4</v>
      </c>
      <c r="K195" s="151" t="s">
        <v>496</v>
      </c>
      <c r="L195" s="9" t="s">
        <v>258</v>
      </c>
      <c r="M195" s="160"/>
      <c r="N195" s="9" t="s">
        <v>258</v>
      </c>
      <c r="O195" s="9"/>
      <c r="Q195" s="118" t="str">
        <f t="shared" si="14"/>
        <v/>
      </c>
      <c r="R195" s="118">
        <f t="shared" si="15"/>
        <v>4</v>
      </c>
      <c r="S195" s="122"/>
      <c r="T195" s="120"/>
      <c r="U195" s="121"/>
    </row>
    <row r="196" spans="1:26" x14ac:dyDescent="0.3">
      <c r="A196" s="8">
        <v>105</v>
      </c>
      <c r="B196" s="8" t="s">
        <v>467</v>
      </c>
      <c r="C196" s="9" t="s">
        <v>157</v>
      </c>
      <c r="D196" s="10" t="s">
        <v>213</v>
      </c>
      <c r="E196" s="30">
        <v>19006</v>
      </c>
      <c r="F196" s="12" t="s">
        <v>4</v>
      </c>
      <c r="G196" s="12" t="s">
        <v>16</v>
      </c>
      <c r="H196" s="12" t="s">
        <v>502</v>
      </c>
      <c r="I196" s="9" t="s">
        <v>178</v>
      </c>
      <c r="J196" s="15">
        <v>4</v>
      </c>
      <c r="K196" s="151" t="s">
        <v>496</v>
      </c>
      <c r="L196" s="9" t="s">
        <v>258</v>
      </c>
      <c r="M196" s="160"/>
      <c r="N196" s="9" t="s">
        <v>258</v>
      </c>
      <c r="O196" s="9"/>
      <c r="Q196" s="118" t="str">
        <f t="shared" si="14"/>
        <v/>
      </c>
      <c r="R196" s="118">
        <f t="shared" si="15"/>
        <v>4</v>
      </c>
      <c r="S196" s="122"/>
      <c r="T196" s="120"/>
      <c r="U196" s="121"/>
    </row>
    <row r="197" spans="1:26" x14ac:dyDescent="0.3">
      <c r="A197" s="8">
        <v>106</v>
      </c>
      <c r="B197" s="8" t="s">
        <v>467</v>
      </c>
      <c r="C197" s="9" t="s">
        <v>157</v>
      </c>
      <c r="D197" s="10" t="s">
        <v>214</v>
      </c>
      <c r="E197" s="30">
        <v>18038</v>
      </c>
      <c r="F197" s="12" t="s">
        <v>4</v>
      </c>
      <c r="G197" s="12" t="s">
        <v>16</v>
      </c>
      <c r="H197" s="12" t="s">
        <v>502</v>
      </c>
      <c r="I197" s="9" t="s">
        <v>178</v>
      </c>
      <c r="J197" s="15">
        <v>3</v>
      </c>
      <c r="K197" s="151" t="s">
        <v>496</v>
      </c>
      <c r="L197" s="9" t="s">
        <v>258</v>
      </c>
      <c r="M197" s="160"/>
      <c r="N197" s="9" t="s">
        <v>258</v>
      </c>
      <c r="O197" s="9"/>
      <c r="Q197" s="118" t="str">
        <f t="shared" si="14"/>
        <v/>
      </c>
      <c r="R197" s="118">
        <f t="shared" si="15"/>
        <v>3</v>
      </c>
      <c r="S197" s="122"/>
      <c r="T197" s="120"/>
      <c r="U197" s="121"/>
    </row>
    <row r="198" spans="1:26" x14ac:dyDescent="0.3">
      <c r="A198" s="8">
        <v>107</v>
      </c>
      <c r="B198" s="8" t="s">
        <v>467</v>
      </c>
      <c r="C198" s="9" t="s">
        <v>157</v>
      </c>
      <c r="D198" s="10" t="s">
        <v>215</v>
      </c>
      <c r="E198" s="30">
        <v>18019</v>
      </c>
      <c r="F198" s="12" t="s">
        <v>4</v>
      </c>
      <c r="G198" s="12" t="s">
        <v>16</v>
      </c>
      <c r="H198" s="12" t="s">
        <v>16</v>
      </c>
      <c r="I198" s="9" t="s">
        <v>178</v>
      </c>
      <c r="J198" s="15">
        <v>2</v>
      </c>
      <c r="K198" s="151" t="s">
        <v>496</v>
      </c>
      <c r="L198" s="9" t="s">
        <v>258</v>
      </c>
      <c r="M198" s="160"/>
      <c r="N198" s="9" t="s">
        <v>258</v>
      </c>
      <c r="O198" s="9"/>
      <c r="Q198" s="118" t="str">
        <f t="shared" si="14"/>
        <v/>
      </c>
      <c r="R198" s="118">
        <f t="shared" si="15"/>
        <v>2</v>
      </c>
      <c r="S198" s="122"/>
      <c r="T198" s="120"/>
      <c r="U198" s="121"/>
    </row>
    <row r="199" spans="1:26" x14ac:dyDescent="0.3">
      <c r="A199" s="8">
        <v>108</v>
      </c>
      <c r="B199" s="8" t="s">
        <v>467</v>
      </c>
      <c r="C199" s="9" t="s">
        <v>157</v>
      </c>
      <c r="D199" s="10" t="s">
        <v>216</v>
      </c>
      <c r="E199" s="30">
        <v>19028</v>
      </c>
      <c r="F199" s="12" t="s">
        <v>4</v>
      </c>
      <c r="G199" s="12" t="s">
        <v>16</v>
      </c>
      <c r="H199" s="12" t="s">
        <v>502</v>
      </c>
      <c r="I199" s="9" t="s">
        <v>178</v>
      </c>
      <c r="J199" s="15">
        <v>3</v>
      </c>
      <c r="K199" s="151" t="s">
        <v>496</v>
      </c>
      <c r="L199" s="9" t="s">
        <v>258</v>
      </c>
      <c r="M199" s="160"/>
      <c r="N199" s="9" t="s">
        <v>258</v>
      </c>
      <c r="O199" s="9"/>
      <c r="Q199" s="118" t="str">
        <f t="shared" si="14"/>
        <v/>
      </c>
      <c r="R199" s="118">
        <f t="shared" si="15"/>
        <v>3</v>
      </c>
      <c r="S199" s="122"/>
      <c r="T199" s="120"/>
      <c r="U199" s="121"/>
    </row>
    <row r="200" spans="1:26" x14ac:dyDescent="0.3">
      <c r="A200" s="8">
        <v>109</v>
      </c>
      <c r="B200" s="8" t="s">
        <v>467</v>
      </c>
      <c r="C200" s="9" t="s">
        <v>157</v>
      </c>
      <c r="D200" s="10" t="s">
        <v>217</v>
      </c>
      <c r="E200" s="30">
        <v>19029</v>
      </c>
      <c r="F200" s="12" t="s">
        <v>4</v>
      </c>
      <c r="G200" s="12" t="s">
        <v>16</v>
      </c>
      <c r="H200" s="12" t="s">
        <v>502</v>
      </c>
      <c r="I200" s="9" t="s">
        <v>178</v>
      </c>
      <c r="J200" s="15">
        <v>4</v>
      </c>
      <c r="K200" s="151" t="s">
        <v>496</v>
      </c>
      <c r="L200" s="9" t="s">
        <v>258</v>
      </c>
      <c r="M200" s="160"/>
      <c r="N200" s="9" t="s">
        <v>258</v>
      </c>
      <c r="O200" s="9"/>
      <c r="Q200" s="118" t="str">
        <f t="shared" si="14"/>
        <v/>
      </c>
      <c r="R200" s="118">
        <f t="shared" si="15"/>
        <v>4</v>
      </c>
      <c r="S200" s="122"/>
      <c r="T200" s="120"/>
      <c r="U200" s="121"/>
    </row>
    <row r="201" spans="1:26" x14ac:dyDescent="0.3">
      <c r="A201" s="8">
        <v>110</v>
      </c>
      <c r="B201" s="8" t="s">
        <v>467</v>
      </c>
      <c r="C201" s="9" t="s">
        <v>157</v>
      </c>
      <c r="D201" s="10" t="s">
        <v>218</v>
      </c>
      <c r="E201" s="30">
        <v>1023</v>
      </c>
      <c r="F201" s="12" t="s">
        <v>4</v>
      </c>
      <c r="G201" s="12" t="s">
        <v>16</v>
      </c>
      <c r="H201" s="12"/>
      <c r="I201" s="173" t="s">
        <v>511</v>
      </c>
      <c r="J201" s="15">
        <v>3</v>
      </c>
      <c r="K201" s="151" t="s">
        <v>496</v>
      </c>
      <c r="L201" s="9" t="s">
        <v>258</v>
      </c>
      <c r="M201" s="160"/>
      <c r="N201" s="9" t="s">
        <v>258</v>
      </c>
      <c r="O201" s="9"/>
      <c r="Q201" s="118" t="str">
        <f t="shared" si="14"/>
        <v/>
      </c>
      <c r="R201" s="118">
        <f t="shared" si="15"/>
        <v>3</v>
      </c>
      <c r="S201" s="122"/>
      <c r="T201" s="120"/>
      <c r="U201" s="121"/>
    </row>
    <row r="202" spans="1:26" x14ac:dyDescent="0.3">
      <c r="A202" s="8">
        <v>111</v>
      </c>
      <c r="B202" s="8" t="s">
        <v>467</v>
      </c>
      <c r="C202" s="9" t="s">
        <v>157</v>
      </c>
      <c r="D202" s="10" t="s">
        <v>219</v>
      </c>
      <c r="E202" s="30">
        <v>1024</v>
      </c>
      <c r="F202" s="12" t="s">
        <v>4</v>
      </c>
      <c r="G202" s="12" t="s">
        <v>16</v>
      </c>
      <c r="H202" s="12"/>
      <c r="I202" s="173" t="s">
        <v>511</v>
      </c>
      <c r="J202" s="15">
        <v>4</v>
      </c>
      <c r="K202" s="151" t="s">
        <v>496</v>
      </c>
      <c r="L202" s="9" t="s">
        <v>258</v>
      </c>
      <c r="M202" s="160"/>
      <c r="N202" s="9" t="s">
        <v>258</v>
      </c>
      <c r="O202" s="9"/>
      <c r="Q202" s="118" t="str">
        <f t="shared" si="14"/>
        <v/>
      </c>
      <c r="R202" s="118">
        <f t="shared" si="15"/>
        <v>4</v>
      </c>
      <c r="S202" s="122"/>
      <c r="T202" s="120"/>
      <c r="U202" s="121"/>
    </row>
    <row r="203" spans="1:26" hidden="1" x14ac:dyDescent="0.3">
      <c r="A203" s="8">
        <v>209</v>
      </c>
      <c r="B203" s="8" t="s">
        <v>468</v>
      </c>
      <c r="C203" s="9" t="s">
        <v>157</v>
      </c>
      <c r="D203" s="10" t="s">
        <v>433</v>
      </c>
      <c r="E203" s="30" t="s">
        <v>434</v>
      </c>
      <c r="F203" s="12" t="s">
        <v>4</v>
      </c>
      <c r="G203" s="12" t="s">
        <v>16</v>
      </c>
      <c r="H203" s="12" t="s">
        <v>502</v>
      </c>
      <c r="I203" s="173" t="s">
        <v>511</v>
      </c>
      <c r="J203" s="15">
        <v>4</v>
      </c>
      <c r="K203" s="22" t="s">
        <v>465</v>
      </c>
      <c r="L203" s="9" t="s">
        <v>258</v>
      </c>
      <c r="M203" s="163" t="s">
        <v>501</v>
      </c>
      <c r="N203" s="9" t="s">
        <v>258</v>
      </c>
      <c r="O203" s="9"/>
      <c r="Q203" s="118" t="str">
        <f t="shared" si="14"/>
        <v/>
      </c>
      <c r="R203" s="118">
        <f t="shared" si="15"/>
        <v>4</v>
      </c>
      <c r="S203" s="122"/>
      <c r="T203" s="120"/>
      <c r="U203" s="120"/>
      <c r="V203" s="63"/>
      <c r="Z203" s="64"/>
    </row>
    <row r="204" spans="1:26" x14ac:dyDescent="0.3">
      <c r="A204" s="8">
        <v>112</v>
      </c>
      <c r="B204" s="8" t="s">
        <v>467</v>
      </c>
      <c r="C204" s="9" t="s">
        <v>157</v>
      </c>
      <c r="D204" s="10" t="s">
        <v>221</v>
      </c>
      <c r="E204" s="30">
        <v>15014</v>
      </c>
      <c r="F204" s="12" t="s">
        <v>4</v>
      </c>
      <c r="G204" s="12" t="s">
        <v>16</v>
      </c>
      <c r="H204" s="12" t="s">
        <v>502</v>
      </c>
      <c r="I204" s="9" t="s">
        <v>178</v>
      </c>
      <c r="J204" s="15">
        <v>3</v>
      </c>
      <c r="K204" s="151" t="s">
        <v>496</v>
      </c>
      <c r="L204" s="9" t="s">
        <v>258</v>
      </c>
      <c r="M204" s="160"/>
      <c r="N204" s="9" t="s">
        <v>258</v>
      </c>
      <c r="O204" s="9"/>
      <c r="Q204" s="118" t="str">
        <f t="shared" si="14"/>
        <v/>
      </c>
      <c r="R204" s="118">
        <f t="shared" si="15"/>
        <v>3</v>
      </c>
      <c r="S204" s="122"/>
      <c r="T204" s="120"/>
      <c r="U204" s="121"/>
    </row>
    <row r="205" spans="1:26" x14ac:dyDescent="0.3">
      <c r="A205" s="8">
        <v>113</v>
      </c>
      <c r="B205" s="8" t="s">
        <v>467</v>
      </c>
      <c r="C205" s="9" t="s">
        <v>157</v>
      </c>
      <c r="D205" s="10" t="s">
        <v>222</v>
      </c>
      <c r="E205" s="30">
        <v>1218</v>
      </c>
      <c r="F205" s="12" t="s">
        <v>4</v>
      </c>
      <c r="G205" s="12" t="s">
        <v>16</v>
      </c>
      <c r="H205" s="12" t="s">
        <v>502</v>
      </c>
      <c r="I205" s="173" t="s">
        <v>511</v>
      </c>
      <c r="J205" s="15">
        <v>4</v>
      </c>
      <c r="K205" s="151" t="s">
        <v>496</v>
      </c>
      <c r="L205" s="9" t="s">
        <v>258</v>
      </c>
      <c r="M205" s="160"/>
      <c r="N205" s="9" t="s">
        <v>258</v>
      </c>
      <c r="O205" s="9"/>
      <c r="Q205" s="118" t="str">
        <f t="shared" si="14"/>
        <v/>
      </c>
      <c r="R205" s="118">
        <f t="shared" si="15"/>
        <v>4</v>
      </c>
      <c r="S205" s="122"/>
      <c r="T205" s="120"/>
      <c r="U205" s="121"/>
    </row>
    <row r="206" spans="1:26" x14ac:dyDescent="0.3">
      <c r="A206" s="8">
        <v>114</v>
      </c>
      <c r="B206" s="8" t="s">
        <v>467</v>
      </c>
      <c r="C206" s="9" t="s">
        <v>157</v>
      </c>
      <c r="D206" s="10" t="s">
        <v>223</v>
      </c>
      <c r="E206" s="30">
        <v>1104</v>
      </c>
      <c r="F206" s="12" t="s">
        <v>4</v>
      </c>
      <c r="G206" s="12" t="s">
        <v>16</v>
      </c>
      <c r="H206" s="12" t="s">
        <v>502</v>
      </c>
      <c r="I206" s="173" t="s">
        <v>511</v>
      </c>
      <c r="J206" s="15">
        <v>4</v>
      </c>
      <c r="K206" s="151" t="s">
        <v>496</v>
      </c>
      <c r="L206" s="9" t="s">
        <v>258</v>
      </c>
      <c r="M206" s="160"/>
      <c r="N206" s="9" t="s">
        <v>258</v>
      </c>
      <c r="O206" s="9"/>
      <c r="Q206" s="118" t="str">
        <f t="shared" si="14"/>
        <v/>
      </c>
      <c r="R206" s="118">
        <f t="shared" si="15"/>
        <v>4</v>
      </c>
      <c r="S206" s="122"/>
      <c r="T206" s="120"/>
      <c r="U206" s="121"/>
    </row>
    <row r="207" spans="1:26" x14ac:dyDescent="0.3">
      <c r="A207" s="8">
        <v>115</v>
      </c>
      <c r="B207" s="8" t="s">
        <v>467</v>
      </c>
      <c r="C207" s="9" t="s">
        <v>157</v>
      </c>
      <c r="D207" s="10" t="s">
        <v>224</v>
      </c>
      <c r="E207" s="30">
        <v>1093</v>
      </c>
      <c r="F207" s="12" t="s">
        <v>4</v>
      </c>
      <c r="G207" s="12" t="s">
        <v>16</v>
      </c>
      <c r="H207" s="12" t="s">
        <v>502</v>
      </c>
      <c r="I207" s="173" t="s">
        <v>511</v>
      </c>
      <c r="J207" s="15">
        <v>3</v>
      </c>
      <c r="K207" s="151" t="s">
        <v>496</v>
      </c>
      <c r="L207" s="9" t="s">
        <v>258</v>
      </c>
      <c r="M207" s="160"/>
      <c r="N207" s="9" t="s">
        <v>258</v>
      </c>
      <c r="O207" s="9"/>
      <c r="Q207" s="118" t="str">
        <f t="shared" si="14"/>
        <v/>
      </c>
      <c r="R207" s="118">
        <f t="shared" si="15"/>
        <v>3</v>
      </c>
      <c r="S207" s="122"/>
      <c r="T207" s="120"/>
      <c r="U207" s="121"/>
    </row>
    <row r="208" spans="1:26" x14ac:dyDescent="0.3">
      <c r="A208" s="8">
        <v>116</v>
      </c>
      <c r="B208" s="8" t="s">
        <v>467</v>
      </c>
      <c r="C208" s="9" t="s">
        <v>157</v>
      </c>
      <c r="D208" s="10" t="s">
        <v>225</v>
      </c>
      <c r="E208" s="30">
        <v>1044</v>
      </c>
      <c r="F208" s="12" t="s">
        <v>4</v>
      </c>
      <c r="G208" s="12" t="s">
        <v>16</v>
      </c>
      <c r="H208" s="12" t="s">
        <v>502</v>
      </c>
      <c r="I208" s="173" t="s">
        <v>511</v>
      </c>
      <c r="J208" s="15">
        <v>4</v>
      </c>
      <c r="K208" s="151" t="s">
        <v>496</v>
      </c>
      <c r="L208" s="9" t="s">
        <v>258</v>
      </c>
      <c r="M208" s="160"/>
      <c r="N208" s="9" t="s">
        <v>258</v>
      </c>
      <c r="O208" s="9"/>
      <c r="Q208" s="118" t="str">
        <f t="shared" si="14"/>
        <v/>
      </c>
      <c r="R208" s="118">
        <f t="shared" si="15"/>
        <v>4</v>
      </c>
      <c r="S208" s="122"/>
      <c r="T208" s="120"/>
      <c r="U208" s="121"/>
    </row>
    <row r="209" spans="1:26" x14ac:dyDescent="0.3">
      <c r="A209" s="8">
        <v>117</v>
      </c>
      <c r="B209" s="8" t="s">
        <v>467</v>
      </c>
      <c r="C209" s="9" t="s">
        <v>157</v>
      </c>
      <c r="D209" s="10" t="s">
        <v>226</v>
      </c>
      <c r="E209" s="30">
        <v>1003</v>
      </c>
      <c r="F209" s="12" t="s">
        <v>4</v>
      </c>
      <c r="G209" s="12" t="s">
        <v>16</v>
      </c>
      <c r="H209" s="12"/>
      <c r="I209" s="9" t="s">
        <v>178</v>
      </c>
      <c r="J209" s="15">
        <v>4</v>
      </c>
      <c r="K209" s="151" t="s">
        <v>496</v>
      </c>
      <c r="L209" s="9" t="s">
        <v>258</v>
      </c>
      <c r="M209" s="160"/>
      <c r="N209" s="9" t="s">
        <v>258</v>
      </c>
      <c r="O209" s="9"/>
      <c r="Q209" s="118" t="str">
        <f t="shared" si="14"/>
        <v/>
      </c>
      <c r="R209" s="118">
        <f t="shared" si="15"/>
        <v>4</v>
      </c>
      <c r="S209" s="122"/>
      <c r="T209" s="120"/>
      <c r="U209" s="121"/>
    </row>
    <row r="210" spans="1:26" x14ac:dyDescent="0.3">
      <c r="A210" s="8">
        <v>118</v>
      </c>
      <c r="B210" s="8" t="s">
        <v>467</v>
      </c>
      <c r="C210" s="9" t="s">
        <v>157</v>
      </c>
      <c r="D210" s="10" t="s">
        <v>227</v>
      </c>
      <c r="E210" s="30">
        <v>2092</v>
      </c>
      <c r="F210" s="12" t="s">
        <v>4</v>
      </c>
      <c r="G210" s="12" t="s">
        <v>16</v>
      </c>
      <c r="H210" s="12"/>
      <c r="I210" s="9" t="s">
        <v>178</v>
      </c>
      <c r="J210" s="15">
        <v>4</v>
      </c>
      <c r="K210" s="151" t="s">
        <v>496</v>
      </c>
      <c r="L210" s="9" t="s">
        <v>258</v>
      </c>
      <c r="M210" s="160"/>
      <c r="N210" s="9" t="s">
        <v>258</v>
      </c>
      <c r="O210" s="9"/>
      <c r="Q210" s="118" t="str">
        <f t="shared" si="14"/>
        <v/>
      </c>
      <c r="R210" s="118">
        <f t="shared" si="15"/>
        <v>4</v>
      </c>
      <c r="S210" s="122"/>
      <c r="T210" s="120"/>
      <c r="U210" s="121"/>
    </row>
    <row r="211" spans="1:26" x14ac:dyDescent="0.3">
      <c r="A211" s="8">
        <v>119</v>
      </c>
      <c r="B211" s="8" t="s">
        <v>467</v>
      </c>
      <c r="C211" s="9" t="s">
        <v>157</v>
      </c>
      <c r="D211" s="10" t="s">
        <v>228</v>
      </c>
      <c r="E211" s="30">
        <v>16026</v>
      </c>
      <c r="F211" s="12" t="s">
        <v>4</v>
      </c>
      <c r="G211" s="12" t="s">
        <v>16</v>
      </c>
      <c r="H211" s="12" t="s">
        <v>502</v>
      </c>
      <c r="I211" s="173" t="s">
        <v>511</v>
      </c>
      <c r="J211" s="15">
        <v>4</v>
      </c>
      <c r="K211" s="151" t="s">
        <v>496</v>
      </c>
      <c r="L211" s="9" t="s">
        <v>258</v>
      </c>
      <c r="M211" s="160"/>
      <c r="N211" s="9" t="s">
        <v>258</v>
      </c>
      <c r="O211" s="9"/>
      <c r="Q211" s="118" t="str">
        <f t="shared" si="14"/>
        <v/>
      </c>
      <c r="R211" s="118">
        <f t="shared" si="15"/>
        <v>4</v>
      </c>
      <c r="S211" s="122"/>
      <c r="T211" s="120"/>
      <c r="U211" s="121"/>
    </row>
    <row r="212" spans="1:26" x14ac:dyDescent="0.3">
      <c r="A212" s="8">
        <v>120</v>
      </c>
      <c r="B212" s="8" t="s">
        <v>467</v>
      </c>
      <c r="C212" s="9" t="s">
        <v>157</v>
      </c>
      <c r="D212" s="10" t="s">
        <v>229</v>
      </c>
      <c r="E212" s="30">
        <v>16027</v>
      </c>
      <c r="F212" s="12" t="s">
        <v>4</v>
      </c>
      <c r="G212" s="12" t="s">
        <v>16</v>
      </c>
      <c r="H212" s="12" t="s">
        <v>502</v>
      </c>
      <c r="I212" s="173" t="s">
        <v>511</v>
      </c>
      <c r="J212" s="15">
        <v>4</v>
      </c>
      <c r="K212" s="151" t="s">
        <v>496</v>
      </c>
      <c r="L212" s="9" t="s">
        <v>258</v>
      </c>
      <c r="M212" s="160"/>
      <c r="N212" s="9" t="s">
        <v>258</v>
      </c>
      <c r="O212" s="9"/>
      <c r="Q212" s="118" t="str">
        <f t="shared" si="14"/>
        <v/>
      </c>
      <c r="R212" s="118">
        <f t="shared" si="15"/>
        <v>4</v>
      </c>
      <c r="S212" s="122"/>
      <c r="T212" s="120"/>
      <c r="U212" s="121"/>
    </row>
    <row r="213" spans="1:26" x14ac:dyDescent="0.3">
      <c r="A213" s="8">
        <v>121</v>
      </c>
      <c r="B213" s="8" t="s">
        <v>467</v>
      </c>
      <c r="C213" s="9" t="s">
        <v>157</v>
      </c>
      <c r="D213" s="10" t="s">
        <v>230</v>
      </c>
      <c r="E213" s="30">
        <v>17114</v>
      </c>
      <c r="F213" s="17" t="s">
        <v>4</v>
      </c>
      <c r="G213" s="17" t="s">
        <v>16</v>
      </c>
      <c r="H213" s="17" t="s">
        <v>502</v>
      </c>
      <c r="I213" s="9" t="s">
        <v>178</v>
      </c>
      <c r="J213" s="15">
        <v>3</v>
      </c>
      <c r="K213" s="151" t="s">
        <v>496</v>
      </c>
      <c r="L213" s="9" t="s">
        <v>258</v>
      </c>
      <c r="M213" s="160"/>
      <c r="N213" s="9" t="s">
        <v>258</v>
      </c>
      <c r="O213" s="9"/>
      <c r="P213" s="108"/>
      <c r="Q213" s="118" t="str">
        <f t="shared" si="14"/>
        <v/>
      </c>
      <c r="R213" s="118">
        <f t="shared" si="15"/>
        <v>3</v>
      </c>
      <c r="S213" s="122"/>
      <c r="T213" s="120"/>
      <c r="U213" s="121"/>
    </row>
    <row r="214" spans="1:26" x14ac:dyDescent="0.3">
      <c r="A214" s="8">
        <v>122</v>
      </c>
      <c r="B214" s="8" t="s">
        <v>467</v>
      </c>
      <c r="C214" s="9" t="s">
        <v>157</v>
      </c>
      <c r="D214" s="10" t="s">
        <v>231</v>
      </c>
      <c r="E214" s="30">
        <v>19013</v>
      </c>
      <c r="F214" s="12" t="s">
        <v>4</v>
      </c>
      <c r="G214" s="12" t="s">
        <v>16</v>
      </c>
      <c r="H214" s="12" t="s">
        <v>502</v>
      </c>
      <c r="I214" s="173" t="s">
        <v>511</v>
      </c>
      <c r="J214" s="15">
        <v>3</v>
      </c>
      <c r="K214" s="151" t="s">
        <v>496</v>
      </c>
      <c r="L214" s="9" t="s">
        <v>258</v>
      </c>
      <c r="M214" s="160"/>
      <c r="N214" s="9" t="s">
        <v>258</v>
      </c>
      <c r="O214" s="9"/>
      <c r="Q214" s="118" t="str">
        <f t="shared" si="14"/>
        <v/>
      </c>
      <c r="R214" s="118">
        <f t="shared" si="15"/>
        <v>3</v>
      </c>
      <c r="S214" s="122"/>
      <c r="T214" s="120"/>
      <c r="U214" s="121"/>
    </row>
    <row r="215" spans="1:26" x14ac:dyDescent="0.3">
      <c r="A215" s="8">
        <v>123</v>
      </c>
      <c r="B215" s="8" t="s">
        <v>467</v>
      </c>
      <c r="C215" s="9" t="s">
        <v>157</v>
      </c>
      <c r="D215" s="10" t="s">
        <v>232</v>
      </c>
      <c r="E215" s="30">
        <v>19014</v>
      </c>
      <c r="F215" s="12" t="s">
        <v>4</v>
      </c>
      <c r="G215" s="12" t="s">
        <v>16</v>
      </c>
      <c r="H215" s="12" t="s">
        <v>502</v>
      </c>
      <c r="I215" s="173" t="s">
        <v>511</v>
      </c>
      <c r="J215" s="15">
        <v>3</v>
      </c>
      <c r="K215" s="151" t="s">
        <v>496</v>
      </c>
      <c r="L215" s="9" t="s">
        <v>258</v>
      </c>
      <c r="M215" s="160"/>
      <c r="N215" s="9" t="s">
        <v>258</v>
      </c>
      <c r="O215" s="9"/>
      <c r="Q215" s="118" t="str">
        <f t="shared" si="14"/>
        <v/>
      </c>
      <c r="R215" s="118">
        <f t="shared" si="15"/>
        <v>3</v>
      </c>
      <c r="S215" s="122"/>
      <c r="T215" s="120"/>
      <c r="U215" s="121"/>
    </row>
    <row r="216" spans="1:26" hidden="1" x14ac:dyDescent="0.3">
      <c r="A216" s="26">
        <v>210</v>
      </c>
      <c r="B216" s="26" t="s">
        <v>468</v>
      </c>
      <c r="C216" s="96" t="s">
        <v>157</v>
      </c>
      <c r="D216" s="98" t="s">
        <v>436</v>
      </c>
      <c r="E216" s="99">
        <v>1117</v>
      </c>
      <c r="F216" s="100" t="s">
        <v>4</v>
      </c>
      <c r="G216" s="100" t="s">
        <v>16</v>
      </c>
      <c r="H216" s="100"/>
      <c r="I216" s="173" t="s">
        <v>511</v>
      </c>
      <c r="J216" s="97">
        <v>3</v>
      </c>
      <c r="K216" s="151" t="s">
        <v>496</v>
      </c>
      <c r="L216" s="9" t="s">
        <v>258</v>
      </c>
      <c r="M216" s="160"/>
      <c r="N216" s="9" t="s">
        <v>258</v>
      </c>
      <c r="O216" s="9"/>
      <c r="Q216" s="118" t="str">
        <f t="shared" si="14"/>
        <v/>
      </c>
      <c r="R216" s="118">
        <f t="shared" si="15"/>
        <v>3</v>
      </c>
      <c r="S216" s="122"/>
      <c r="T216" s="120"/>
      <c r="U216" s="120"/>
      <c r="V216" s="63"/>
      <c r="Z216" s="64"/>
    </row>
    <row r="217" spans="1:26" hidden="1" x14ac:dyDescent="0.3">
      <c r="A217" s="26">
        <v>211</v>
      </c>
      <c r="B217" s="26" t="s">
        <v>468</v>
      </c>
      <c r="C217" s="96" t="s">
        <v>157</v>
      </c>
      <c r="D217" s="98" t="s">
        <v>438</v>
      </c>
      <c r="E217" s="99">
        <v>9004</v>
      </c>
      <c r="F217" s="100" t="s">
        <v>4</v>
      </c>
      <c r="G217" s="100" t="s">
        <v>16</v>
      </c>
      <c r="H217" s="100"/>
      <c r="I217" s="173" t="s">
        <v>511</v>
      </c>
      <c r="J217" s="97">
        <v>4</v>
      </c>
      <c r="K217" s="151" t="s">
        <v>496</v>
      </c>
      <c r="L217" s="9" t="s">
        <v>258</v>
      </c>
      <c r="M217" s="160"/>
      <c r="N217" s="9" t="s">
        <v>258</v>
      </c>
      <c r="O217" s="9"/>
      <c r="Q217" s="118" t="str">
        <f t="shared" si="14"/>
        <v/>
      </c>
      <c r="R217" s="118">
        <f t="shared" si="15"/>
        <v>4</v>
      </c>
      <c r="S217" s="122"/>
      <c r="T217" s="120"/>
      <c r="U217" s="120"/>
      <c r="V217" s="63"/>
      <c r="Z217" s="64"/>
    </row>
    <row r="218" spans="1:26" hidden="1" x14ac:dyDescent="0.3">
      <c r="A218" s="26">
        <v>212</v>
      </c>
      <c r="B218" s="26" t="s">
        <v>468</v>
      </c>
      <c r="C218" s="96" t="s">
        <v>157</v>
      </c>
      <c r="D218" s="98" t="s">
        <v>440</v>
      </c>
      <c r="E218" s="99">
        <v>6008</v>
      </c>
      <c r="F218" s="100" t="s">
        <v>4</v>
      </c>
      <c r="G218" s="100" t="s">
        <v>16</v>
      </c>
      <c r="H218" s="100"/>
      <c r="I218" s="173" t="s">
        <v>511</v>
      </c>
      <c r="J218" s="97">
        <v>6</v>
      </c>
      <c r="K218" s="22" t="s">
        <v>465</v>
      </c>
      <c r="L218" s="9" t="s">
        <v>258</v>
      </c>
      <c r="M218" s="163" t="s">
        <v>501</v>
      </c>
      <c r="N218" s="9" t="s">
        <v>258</v>
      </c>
      <c r="O218" s="9"/>
      <c r="Q218" s="118" t="str">
        <f t="shared" si="14"/>
        <v/>
      </c>
      <c r="R218" s="118">
        <f t="shared" si="15"/>
        <v>6</v>
      </c>
      <c r="S218" s="122"/>
      <c r="T218" s="120"/>
      <c r="U218" s="120"/>
      <c r="V218" s="63"/>
      <c r="Z218" s="64"/>
    </row>
    <row r="219" spans="1:26" hidden="1" x14ac:dyDescent="0.3">
      <c r="A219" s="26">
        <v>213</v>
      </c>
      <c r="B219" s="26" t="s">
        <v>468</v>
      </c>
      <c r="C219" s="96" t="s">
        <v>157</v>
      </c>
      <c r="D219" s="98" t="s">
        <v>442</v>
      </c>
      <c r="E219" s="99">
        <v>6019</v>
      </c>
      <c r="F219" s="100" t="s">
        <v>4</v>
      </c>
      <c r="G219" s="100" t="s">
        <v>16</v>
      </c>
      <c r="H219" s="100"/>
      <c r="I219" s="96" t="s">
        <v>13</v>
      </c>
      <c r="J219" s="97">
        <v>3</v>
      </c>
      <c r="K219" s="70" t="s">
        <v>262</v>
      </c>
      <c r="L219" s="9" t="s">
        <v>258</v>
      </c>
      <c r="M219" s="164" t="s">
        <v>500</v>
      </c>
      <c r="N219" s="9" t="s">
        <v>258</v>
      </c>
      <c r="O219" s="9"/>
      <c r="Q219" s="118">
        <f t="shared" si="14"/>
        <v>3</v>
      </c>
      <c r="R219" s="118" t="str">
        <f t="shared" si="15"/>
        <v/>
      </c>
      <c r="S219" s="122"/>
      <c r="T219" s="120"/>
      <c r="U219" s="120"/>
      <c r="V219" s="63"/>
      <c r="Z219" s="64"/>
    </row>
    <row r="220" spans="1:26" hidden="1" x14ac:dyDescent="0.3">
      <c r="A220" s="26">
        <v>219</v>
      </c>
      <c r="B220" s="26" t="s">
        <v>468</v>
      </c>
      <c r="C220" s="96" t="s">
        <v>157</v>
      </c>
      <c r="D220" s="98" t="s">
        <v>459</v>
      </c>
      <c r="E220" s="99">
        <v>2016</v>
      </c>
      <c r="F220" s="100" t="s">
        <v>4</v>
      </c>
      <c r="G220" s="100" t="s">
        <v>16</v>
      </c>
      <c r="H220" s="100"/>
      <c r="I220" s="96" t="s">
        <v>178</v>
      </c>
      <c r="J220" s="97">
        <v>4</v>
      </c>
      <c r="K220" s="151" t="s">
        <v>496</v>
      </c>
      <c r="L220" s="9" t="s">
        <v>258</v>
      </c>
      <c r="M220" s="160"/>
      <c r="N220" s="9" t="s">
        <v>258</v>
      </c>
      <c r="O220" s="9"/>
      <c r="Q220" s="118" t="str">
        <f t="shared" si="14"/>
        <v/>
      </c>
      <c r="R220" s="118">
        <f t="shared" si="15"/>
        <v>4</v>
      </c>
      <c r="S220" s="122"/>
      <c r="T220" s="120"/>
      <c r="U220" s="120"/>
      <c r="V220" s="63"/>
      <c r="Z220" s="64"/>
    </row>
    <row r="221" spans="1:26" hidden="1" x14ac:dyDescent="0.3">
      <c r="A221" s="26">
        <v>220</v>
      </c>
      <c r="B221" s="26" t="s">
        <v>468</v>
      </c>
      <c r="C221" s="96" t="s">
        <v>157</v>
      </c>
      <c r="D221" s="98" t="s">
        <v>461</v>
      </c>
      <c r="E221" s="99">
        <v>2074</v>
      </c>
      <c r="F221" s="100" t="s">
        <v>4</v>
      </c>
      <c r="G221" s="100" t="s">
        <v>16</v>
      </c>
      <c r="H221" s="100"/>
      <c r="I221" s="96" t="s">
        <v>178</v>
      </c>
      <c r="J221" s="97">
        <v>3</v>
      </c>
      <c r="K221" s="151" t="s">
        <v>496</v>
      </c>
      <c r="L221" s="9" t="s">
        <v>258</v>
      </c>
      <c r="M221" s="160"/>
      <c r="N221" s="9" t="s">
        <v>258</v>
      </c>
      <c r="O221" s="9"/>
      <c r="Q221" s="118" t="str">
        <f t="shared" si="14"/>
        <v/>
      </c>
      <c r="R221" s="118">
        <f t="shared" si="15"/>
        <v>3</v>
      </c>
      <c r="S221" s="122"/>
      <c r="T221" s="120"/>
      <c r="U221" s="120"/>
      <c r="V221" s="63"/>
      <c r="Z221" s="64"/>
    </row>
    <row r="222" spans="1:26" s="109" customFormat="1" ht="15" thickBot="1" x14ac:dyDescent="0.35">
      <c r="A222" s="103"/>
      <c r="B222" s="103"/>
      <c r="C222" s="101"/>
      <c r="D222" s="104"/>
      <c r="E222" s="105"/>
      <c r="F222" s="106"/>
      <c r="G222" s="106"/>
      <c r="H222" s="106"/>
      <c r="I222" s="101"/>
      <c r="J222" s="106"/>
      <c r="K222" s="107"/>
      <c r="L222" s="101"/>
      <c r="M222" s="161"/>
      <c r="N222" s="101"/>
      <c r="O222" s="101"/>
      <c r="Q222" s="120"/>
      <c r="R222" s="120"/>
      <c r="S222" s="122"/>
      <c r="T222" s="120"/>
      <c r="U222" s="127"/>
      <c r="V222" s="102"/>
      <c r="W222" s="102"/>
      <c r="X222" s="102"/>
      <c r="Y222" s="102"/>
    </row>
    <row r="223" spans="1:26" ht="15" thickBot="1" x14ac:dyDescent="0.35">
      <c r="J223" s="39">
        <f>SUM(J2:J221)</f>
        <v>773</v>
      </c>
      <c r="Q223" s="116">
        <f>SUM(Q2:Q221)</f>
        <v>488</v>
      </c>
      <c r="R223" s="116">
        <f>SUM(R2:R221)</f>
        <v>285</v>
      </c>
      <c r="S223" s="122"/>
      <c r="T223" s="120"/>
      <c r="U223" s="121"/>
    </row>
    <row r="224" spans="1:26" ht="15" thickBot="1" x14ac:dyDescent="0.35">
      <c r="C224" s="43"/>
      <c r="D224" s="46"/>
      <c r="J224" s="40"/>
      <c r="Q224" s="117">
        <v>1</v>
      </c>
      <c r="R224" s="117"/>
      <c r="S224" s="122"/>
      <c r="T224" s="120"/>
      <c r="U224" s="121"/>
    </row>
    <row r="225" spans="1:21" ht="15" thickBot="1" x14ac:dyDescent="0.35">
      <c r="A225" s="42" t="s">
        <v>467</v>
      </c>
      <c r="B225" s="43">
        <f>+COUNTIF(B2:B221,A225)</f>
        <v>123</v>
      </c>
      <c r="C225" s="47">
        <f>+COUNTIF(C2:C221,D225)</f>
        <v>157</v>
      </c>
      <c r="D225" s="48" t="s">
        <v>8</v>
      </c>
      <c r="F225" s="42" t="s">
        <v>188</v>
      </c>
      <c r="G225" s="43">
        <f>+COUNTIF(G2:G221,F225)</f>
        <v>0</v>
      </c>
      <c r="H225" s="43"/>
      <c r="J225" s="39">
        <f>+J223+J224</f>
        <v>773</v>
      </c>
      <c r="Q225" s="116">
        <f>+Q223+Q224</f>
        <v>489</v>
      </c>
      <c r="R225" s="116">
        <f>+R223+R224</f>
        <v>285</v>
      </c>
      <c r="S225" s="122"/>
      <c r="T225" s="120"/>
      <c r="U225" s="121"/>
    </row>
    <row r="226" spans="1:21" x14ac:dyDescent="0.3">
      <c r="A226" s="42" t="s">
        <v>468</v>
      </c>
      <c r="B226" s="43">
        <f>+COUNTIF(B2:B221,A226)</f>
        <v>97</v>
      </c>
      <c r="C226" s="47">
        <f>+COUNTIF(C2:C221,D226)</f>
        <v>63</v>
      </c>
      <c r="D226" s="48" t="s">
        <v>157</v>
      </c>
      <c r="F226" s="42" t="s">
        <v>12</v>
      </c>
      <c r="G226" s="43">
        <f>+COUNTIF(G2:G221,F226)</f>
        <v>0</v>
      </c>
      <c r="H226" s="43"/>
      <c r="Q226" s="120"/>
      <c r="R226" s="120"/>
      <c r="S226" s="122"/>
      <c r="T226" s="120"/>
      <c r="U226" s="121"/>
    </row>
    <row r="227" spans="1:21" x14ac:dyDescent="0.3">
      <c r="C227" s="47"/>
      <c r="D227" s="50" t="s">
        <v>487</v>
      </c>
      <c r="F227" s="42" t="s">
        <v>51</v>
      </c>
      <c r="G227" s="43">
        <f>+COUNTIF(G2:G221,F227)</f>
        <v>55</v>
      </c>
      <c r="H227" s="43"/>
      <c r="I227" s="181"/>
      <c r="J227" s="182"/>
      <c r="Q227" s="128">
        <f>+Q225/J225</f>
        <v>0.63260025873221215</v>
      </c>
      <c r="R227" s="128">
        <f>+R225/J225</f>
        <v>0.36869340232858994</v>
      </c>
      <c r="S227" s="122"/>
      <c r="T227" s="120"/>
      <c r="U227" s="121"/>
    </row>
    <row r="228" spans="1:21" ht="15" thickBot="1" x14ac:dyDescent="0.35">
      <c r="A228" s="44"/>
      <c r="B228" s="44"/>
      <c r="D228" s="50" t="s">
        <v>488</v>
      </c>
      <c r="F228" s="42" t="s">
        <v>16</v>
      </c>
      <c r="G228" s="43">
        <f>+COUNTIF(G2:G221,F228)</f>
        <v>165</v>
      </c>
      <c r="I228" s="181"/>
      <c r="J228" s="182"/>
    </row>
    <row r="229" spans="1:21" ht="15" thickBot="1" x14ac:dyDescent="0.35">
      <c r="C229" s="49">
        <f>SUBTOTAL(9,C224:C227)</f>
        <v>220</v>
      </c>
      <c r="F229" s="44"/>
      <c r="G229" s="45">
        <f>SUBTOTAL(9,G225:G228)</f>
        <v>220</v>
      </c>
    </row>
    <row r="231" spans="1:21" x14ac:dyDescent="0.3">
      <c r="H231" s="42" t="s">
        <v>13</v>
      </c>
      <c r="I231" s="43">
        <f>+COUNTIF(I2:I221,H231)</f>
        <v>168</v>
      </c>
    </row>
    <row r="232" spans="1:21" ht="15" thickBot="1" x14ac:dyDescent="0.35">
      <c r="H232" s="42" t="s">
        <v>178</v>
      </c>
      <c r="I232" s="43">
        <f>+COUNTIF(I2:I221,H232)</f>
        <v>18</v>
      </c>
    </row>
    <row r="233" spans="1:21" ht="15" thickBot="1" x14ac:dyDescent="0.35">
      <c r="H233" s="42"/>
      <c r="I233" s="45">
        <f>SUBTOTAL(9,I231:I232)</f>
        <v>186</v>
      </c>
    </row>
    <row r="234" spans="1:21" x14ac:dyDescent="0.3">
      <c r="H234" s="42"/>
      <c r="I234" s="43"/>
      <c r="J234" s="152" t="s">
        <v>256</v>
      </c>
      <c r="K234" s="153">
        <f>+COUNTIF(K1:K220,J234)</f>
        <v>11</v>
      </c>
    </row>
    <row r="235" spans="1:21" x14ac:dyDescent="0.3">
      <c r="H235" s="44"/>
      <c r="J235" s="152" t="s">
        <v>261</v>
      </c>
      <c r="K235" s="153">
        <f>+COUNTIF(K2:K221,J235)</f>
        <v>82</v>
      </c>
    </row>
    <row r="236" spans="1:21" x14ac:dyDescent="0.3">
      <c r="J236" s="152" t="s">
        <v>262</v>
      </c>
      <c r="K236" s="153">
        <f>+COUNTIF(K2:K221,J236)</f>
        <v>13</v>
      </c>
    </row>
    <row r="237" spans="1:21" x14ac:dyDescent="0.3">
      <c r="J237" s="152" t="s">
        <v>496</v>
      </c>
      <c r="K237" s="153">
        <f>+COUNTIF(K2:K221,J237)</f>
        <v>47</v>
      </c>
    </row>
    <row r="238" spans="1:21" x14ac:dyDescent="0.3">
      <c r="J238" s="152" t="s">
        <v>260</v>
      </c>
      <c r="K238" s="153">
        <f>+COUNTIF(K2:K221,J238)</f>
        <v>29</v>
      </c>
    </row>
    <row r="239" spans="1:21" ht="15" thickBot="1" x14ac:dyDescent="0.35">
      <c r="J239" s="152" t="s">
        <v>465</v>
      </c>
      <c r="K239" s="153">
        <f>+COUNTIF(K2:K221,J239)</f>
        <v>9</v>
      </c>
    </row>
    <row r="240" spans="1:21" ht="15" thickBot="1" x14ac:dyDescent="0.35">
      <c r="J240" s="154"/>
      <c r="K240" s="155">
        <f>SUBTOTAL(9,K234:K239)</f>
        <v>191</v>
      </c>
    </row>
  </sheetData>
  <autoFilter ref="A1:Z221" xr:uid="{A8C98864-80C8-48FD-85D7-1DB8590F376F}">
    <filterColumn colId="1">
      <filters>
        <filter val="M9.1"/>
      </filters>
    </filterColumn>
    <sortState ref="A2:Z221">
      <sortCondition ref="D1:D221"/>
    </sortState>
  </autoFilter>
  <printOptions gridLines="1"/>
  <pageMargins left="0.70866141732283472" right="0.70866141732283472" top="0.74803149606299213" bottom="0.74803149606299213" header="0.31496062992125984" footer="0.31496062992125984"/>
  <pageSetup paperSize="9" scale="43" fitToHeight="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3BAF-EC15-44B1-B8F4-F01EAA1A54C8}">
  <sheetPr>
    <pageSetUpPr fitToPage="1"/>
  </sheetPr>
  <dimension ref="A1:Z143"/>
  <sheetViews>
    <sheetView zoomScale="90" zoomScaleNormal="90" workbookViewId="0">
      <selection activeCell="D124" sqref="D2:E124"/>
    </sheetView>
  </sheetViews>
  <sheetFormatPr defaultRowHeight="14.4" x14ac:dyDescent="0.3"/>
  <cols>
    <col min="1" max="1" width="6.5546875" style="36" bestFit="1" customWidth="1"/>
    <col min="2" max="2" width="6.5546875" style="36" customWidth="1"/>
    <col min="3" max="3" width="11.6640625" style="37" customWidth="1"/>
    <col min="4" max="4" width="44.88671875" customWidth="1"/>
    <col min="7" max="7" width="11.21875" bestFit="1" customWidth="1"/>
    <col min="8" max="8" width="13.44140625" style="72" customWidth="1"/>
    <col min="9" max="9" width="11.6640625" style="38" bestFit="1" customWidth="1"/>
    <col min="10" max="10" width="10.21875" customWidth="1"/>
    <col min="11" max="11" width="10.44140625" customWidth="1"/>
    <col min="13" max="13" width="10.88671875" style="162" customWidth="1"/>
    <col min="14" max="14" width="20.109375" bestFit="1" customWidth="1"/>
    <col min="16" max="16" width="50.109375" style="69" bestFit="1" customWidth="1"/>
    <col min="17" max="17" width="10.44140625" style="113" bestFit="1" customWidth="1"/>
    <col min="18" max="18" width="8.88671875" style="113"/>
    <col min="19" max="19" width="61.109375" style="115" bestFit="1" customWidth="1"/>
    <col min="20" max="20" width="30.33203125" style="113" bestFit="1" customWidth="1"/>
    <col min="21" max="21" width="4.6640625" style="114" bestFit="1" customWidth="1"/>
    <col min="22" max="25" width="8.88671875" style="64"/>
  </cols>
  <sheetData>
    <row r="1" spans="1:21" ht="52.8" x14ac:dyDescent="0.3">
      <c r="A1" s="1" t="s">
        <v>0</v>
      </c>
      <c r="B1" s="1" t="s">
        <v>466</v>
      </c>
      <c r="C1" s="2" t="s">
        <v>1</v>
      </c>
      <c r="D1" s="3" t="s">
        <v>2</v>
      </c>
      <c r="E1" s="4" t="s">
        <v>3</v>
      </c>
      <c r="F1" s="5" t="s">
        <v>4</v>
      </c>
      <c r="G1" s="5" t="s">
        <v>5</v>
      </c>
      <c r="H1" s="71" t="s">
        <v>504</v>
      </c>
      <c r="I1" s="6" t="s">
        <v>6</v>
      </c>
      <c r="J1" s="7" t="s">
        <v>7</v>
      </c>
      <c r="K1" s="65" t="s">
        <v>252</v>
      </c>
      <c r="L1" s="6" t="s">
        <v>253</v>
      </c>
      <c r="M1" s="159" t="s">
        <v>499</v>
      </c>
      <c r="N1" s="6" t="s">
        <v>254</v>
      </c>
      <c r="O1" s="157" t="s">
        <v>497</v>
      </c>
      <c r="P1" s="66" t="s">
        <v>255</v>
      </c>
      <c r="Q1" s="111" t="s">
        <v>469</v>
      </c>
      <c r="R1" s="111" t="s">
        <v>470</v>
      </c>
      <c r="S1" s="112" t="s">
        <v>471</v>
      </c>
    </row>
    <row r="2" spans="1:21" x14ac:dyDescent="0.3">
      <c r="A2" s="8">
        <v>1</v>
      </c>
      <c r="B2" s="8" t="s">
        <v>467</v>
      </c>
      <c r="C2" s="9" t="s">
        <v>8</v>
      </c>
      <c r="D2" s="10" t="s">
        <v>9</v>
      </c>
      <c r="E2" s="11" t="s">
        <v>10</v>
      </c>
      <c r="F2" s="12" t="s">
        <v>4</v>
      </c>
      <c r="G2" s="12" t="s">
        <v>51</v>
      </c>
      <c r="H2" s="172" t="s">
        <v>505</v>
      </c>
      <c r="I2" s="9" t="s">
        <v>13</v>
      </c>
      <c r="J2" s="12">
        <v>3</v>
      </c>
      <c r="K2" s="8" t="s">
        <v>261</v>
      </c>
      <c r="L2" s="9" t="s">
        <v>258</v>
      </c>
      <c r="M2" s="160"/>
      <c r="N2" s="9" t="s">
        <v>258</v>
      </c>
      <c r="O2" s="9"/>
      <c r="P2" s="10"/>
      <c r="Q2" s="118" t="s">
        <v>472</v>
      </c>
      <c r="R2" s="118">
        <f>J2</f>
        <v>3</v>
      </c>
      <c r="S2" s="119" t="s">
        <v>474</v>
      </c>
    </row>
    <row r="3" spans="1:21" x14ac:dyDescent="0.3">
      <c r="A3" s="8">
        <v>87</v>
      </c>
      <c r="B3" s="8" t="s">
        <v>467</v>
      </c>
      <c r="C3" s="9" t="s">
        <v>8</v>
      </c>
      <c r="D3" s="10" t="s">
        <v>176</v>
      </c>
      <c r="E3" s="11" t="s">
        <v>177</v>
      </c>
      <c r="F3" s="12" t="s">
        <v>4</v>
      </c>
      <c r="G3" s="12" t="s">
        <v>16</v>
      </c>
      <c r="H3" s="20" t="s">
        <v>502</v>
      </c>
      <c r="I3" s="9" t="s">
        <v>13</v>
      </c>
      <c r="J3" s="12">
        <v>2</v>
      </c>
      <c r="K3" s="70" t="s">
        <v>262</v>
      </c>
      <c r="L3" s="9" t="s">
        <v>258</v>
      </c>
      <c r="M3" s="164" t="s">
        <v>500</v>
      </c>
      <c r="N3" s="9" t="s">
        <v>258</v>
      </c>
      <c r="O3" s="9"/>
      <c r="Q3" s="118">
        <f>IF(I3="SI",J3,"")</f>
        <v>2</v>
      </c>
      <c r="R3" s="118" t="str">
        <f>IF(I3="SI","",J3)</f>
        <v/>
      </c>
      <c r="S3" s="122"/>
      <c r="T3" s="120"/>
      <c r="U3" s="126"/>
    </row>
    <row r="4" spans="1:21" x14ac:dyDescent="0.3">
      <c r="A4" s="8">
        <v>2</v>
      </c>
      <c r="B4" s="8" t="s">
        <v>467</v>
      </c>
      <c r="C4" s="9" t="s">
        <v>8</v>
      </c>
      <c r="D4" s="10" t="s">
        <v>14</v>
      </c>
      <c r="E4" s="11" t="s">
        <v>15</v>
      </c>
      <c r="F4" s="12" t="s">
        <v>4</v>
      </c>
      <c r="G4" s="12" t="s">
        <v>16</v>
      </c>
      <c r="H4" s="12"/>
      <c r="I4" s="9" t="s">
        <v>13</v>
      </c>
      <c r="J4" s="12">
        <v>4</v>
      </c>
      <c r="K4" s="68" t="s">
        <v>260</v>
      </c>
      <c r="L4" s="9" t="s">
        <v>258</v>
      </c>
      <c r="M4" s="160"/>
      <c r="N4" s="9" t="s">
        <v>258</v>
      </c>
      <c r="O4" s="9"/>
      <c r="P4" s="10"/>
      <c r="Q4" s="118">
        <f>IF(I4="SI",J4,"")</f>
        <v>4</v>
      </c>
      <c r="R4" s="118" t="str">
        <f>IF(I4="SI","",J4)</f>
        <v/>
      </c>
      <c r="S4" s="122"/>
      <c r="T4" s="129" t="s">
        <v>490</v>
      </c>
      <c r="U4" s="130">
        <v>94</v>
      </c>
    </row>
    <row r="5" spans="1:21" x14ac:dyDescent="0.3">
      <c r="A5" s="8">
        <v>3</v>
      </c>
      <c r="B5" s="8" t="s">
        <v>467</v>
      </c>
      <c r="C5" s="9" t="s">
        <v>8</v>
      </c>
      <c r="D5" s="10" t="s">
        <v>17</v>
      </c>
      <c r="E5" s="11" t="s">
        <v>18</v>
      </c>
      <c r="F5" s="12" t="s">
        <v>4</v>
      </c>
      <c r="G5" s="12" t="s">
        <v>16</v>
      </c>
      <c r="H5" s="12"/>
      <c r="I5" s="9" t="s">
        <v>13</v>
      </c>
      <c r="J5" s="12">
        <v>3</v>
      </c>
      <c r="K5" s="68" t="s">
        <v>260</v>
      </c>
      <c r="L5" s="9" t="s">
        <v>258</v>
      </c>
      <c r="M5" s="160"/>
      <c r="N5" s="9" t="s">
        <v>258</v>
      </c>
      <c r="O5" s="9"/>
      <c r="P5" s="10"/>
      <c r="Q5" s="118" t="s">
        <v>472</v>
      </c>
      <c r="R5" s="118">
        <f>J5</f>
        <v>3</v>
      </c>
      <c r="S5" s="122" t="s">
        <v>475</v>
      </c>
      <c r="T5" s="129" t="s">
        <v>491</v>
      </c>
      <c r="U5" s="130">
        <v>26</v>
      </c>
    </row>
    <row r="6" spans="1:21" x14ac:dyDescent="0.3">
      <c r="A6" s="8">
        <v>5</v>
      </c>
      <c r="B6" s="8" t="s">
        <v>467</v>
      </c>
      <c r="C6" s="9" t="s">
        <v>8</v>
      </c>
      <c r="D6" s="10" t="s">
        <v>21</v>
      </c>
      <c r="E6" s="11" t="s">
        <v>22</v>
      </c>
      <c r="F6" s="12" t="s">
        <v>4</v>
      </c>
      <c r="G6" s="12" t="s">
        <v>16</v>
      </c>
      <c r="H6" s="12"/>
      <c r="I6" s="9" t="s">
        <v>13</v>
      </c>
      <c r="J6" s="12">
        <v>2</v>
      </c>
      <c r="K6" s="68" t="s">
        <v>260</v>
      </c>
      <c r="L6" s="9" t="s">
        <v>258</v>
      </c>
      <c r="M6" s="160"/>
      <c r="N6" s="9" t="s">
        <v>258</v>
      </c>
      <c r="O6" s="9"/>
      <c r="P6" s="10"/>
      <c r="Q6" s="118">
        <f>IF(I6="SI",J6,"")</f>
        <v>2</v>
      </c>
      <c r="R6" s="118" t="str">
        <f>IF(I6="SI","",J6)</f>
        <v/>
      </c>
      <c r="S6" s="122"/>
      <c r="T6" s="129" t="s">
        <v>493</v>
      </c>
      <c r="U6" s="130">
        <v>2</v>
      </c>
    </row>
    <row r="7" spans="1:21" x14ac:dyDescent="0.3">
      <c r="A7" s="8">
        <v>6</v>
      </c>
      <c r="B7" s="8" t="s">
        <v>467</v>
      </c>
      <c r="C7" s="9" t="s">
        <v>8</v>
      </c>
      <c r="D7" s="10" t="s">
        <v>23</v>
      </c>
      <c r="E7" s="11" t="s">
        <v>24</v>
      </c>
      <c r="F7" s="12" t="s">
        <v>4</v>
      </c>
      <c r="G7" s="12" t="s">
        <v>16</v>
      </c>
      <c r="H7" s="20" t="s">
        <v>502</v>
      </c>
      <c r="I7" s="9" t="s">
        <v>13</v>
      </c>
      <c r="J7" s="15">
        <v>3</v>
      </c>
      <c r="K7" s="165" t="s">
        <v>260</v>
      </c>
      <c r="L7" s="9" t="s">
        <v>258</v>
      </c>
      <c r="M7" s="160"/>
      <c r="N7" s="9" t="s">
        <v>258</v>
      </c>
      <c r="O7" s="9"/>
      <c r="P7" s="10"/>
      <c r="Q7" s="118">
        <f>IF(I7="SI",J7,"")</f>
        <v>3</v>
      </c>
      <c r="R7" s="118" t="str">
        <f>IF(I7="SI","",J7)</f>
        <v/>
      </c>
      <c r="S7" s="122"/>
      <c r="T7" s="129" t="s">
        <v>494</v>
      </c>
      <c r="U7" s="130">
        <v>13</v>
      </c>
    </row>
    <row r="8" spans="1:21" x14ac:dyDescent="0.3">
      <c r="A8" s="8">
        <v>7</v>
      </c>
      <c r="B8" s="8" t="s">
        <v>467</v>
      </c>
      <c r="C8" s="9" t="s">
        <v>8</v>
      </c>
      <c r="D8" s="10" t="s">
        <v>25</v>
      </c>
      <c r="E8" s="11" t="s">
        <v>26</v>
      </c>
      <c r="F8" s="12" t="s">
        <v>4</v>
      </c>
      <c r="G8" s="12" t="s">
        <v>16</v>
      </c>
      <c r="H8" s="20" t="s">
        <v>502</v>
      </c>
      <c r="I8" s="9" t="s">
        <v>13</v>
      </c>
      <c r="J8" s="15">
        <v>4</v>
      </c>
      <c r="K8" s="165" t="s">
        <v>260</v>
      </c>
      <c r="L8" s="9" t="s">
        <v>258</v>
      </c>
      <c r="M8" s="160"/>
      <c r="N8" s="9" t="s">
        <v>258</v>
      </c>
      <c r="O8" s="9"/>
      <c r="P8" s="10"/>
      <c r="Q8" s="118">
        <f>IF(I8="SI",J8,"")</f>
        <v>4</v>
      </c>
      <c r="R8" s="118" t="str">
        <f>IF(I8="SI","",J8)</f>
        <v/>
      </c>
      <c r="S8" s="122"/>
      <c r="T8" s="129" t="s">
        <v>495</v>
      </c>
      <c r="U8" s="130">
        <v>3</v>
      </c>
    </row>
    <row r="9" spans="1:21" x14ac:dyDescent="0.3">
      <c r="A9" s="8">
        <v>8</v>
      </c>
      <c r="B9" s="8" t="s">
        <v>467</v>
      </c>
      <c r="C9" s="9" t="s">
        <v>8</v>
      </c>
      <c r="D9" s="10" t="s">
        <v>27</v>
      </c>
      <c r="E9" s="11" t="s">
        <v>28</v>
      </c>
      <c r="F9" s="12" t="s">
        <v>4</v>
      </c>
      <c r="G9" s="12" t="s">
        <v>16</v>
      </c>
      <c r="H9" s="12"/>
      <c r="I9" s="9" t="s">
        <v>13</v>
      </c>
      <c r="J9" s="12">
        <v>3</v>
      </c>
      <c r="K9" s="68" t="s">
        <v>260</v>
      </c>
      <c r="L9" s="9" t="s">
        <v>258</v>
      </c>
      <c r="M9" s="160"/>
      <c r="N9" s="9" t="s">
        <v>258</v>
      </c>
      <c r="O9" s="9"/>
      <c r="P9" s="10"/>
      <c r="Q9" s="118">
        <f>IF(I9="SI",J9,"")</f>
        <v>3</v>
      </c>
      <c r="R9" s="118" t="str">
        <f>IF(I9="SI","",J9)</f>
        <v/>
      </c>
      <c r="S9" s="122"/>
      <c r="T9" s="120"/>
      <c r="U9" s="121"/>
    </row>
    <row r="10" spans="1:21" x14ac:dyDescent="0.3">
      <c r="A10" s="8">
        <v>9</v>
      </c>
      <c r="B10" s="8" t="s">
        <v>467</v>
      </c>
      <c r="C10" s="9" t="s">
        <v>8</v>
      </c>
      <c r="D10" s="10" t="s">
        <v>29</v>
      </c>
      <c r="E10" s="11" t="s">
        <v>30</v>
      </c>
      <c r="F10" s="12" t="s">
        <v>4</v>
      </c>
      <c r="G10" s="12" t="s">
        <v>16</v>
      </c>
      <c r="H10" s="12"/>
      <c r="I10" s="9" t="s">
        <v>13</v>
      </c>
      <c r="J10" s="12">
        <v>3</v>
      </c>
      <c r="K10" s="68" t="s">
        <v>260</v>
      </c>
      <c r="L10" s="9" t="s">
        <v>258</v>
      </c>
      <c r="M10" s="160"/>
      <c r="N10" s="9" t="s">
        <v>258</v>
      </c>
      <c r="O10" s="9"/>
      <c r="P10" s="10"/>
      <c r="Q10" s="118" t="s">
        <v>472</v>
      </c>
      <c r="R10" s="118">
        <f>J10</f>
        <v>3</v>
      </c>
      <c r="S10" s="119" t="s">
        <v>474</v>
      </c>
      <c r="T10" s="120"/>
      <c r="U10" s="121"/>
    </row>
    <row r="11" spans="1:21" x14ac:dyDescent="0.3">
      <c r="A11" s="8">
        <v>10</v>
      </c>
      <c r="B11" s="8" t="s">
        <v>467</v>
      </c>
      <c r="C11" s="9" t="s">
        <v>8</v>
      </c>
      <c r="D11" s="10" t="s">
        <v>31</v>
      </c>
      <c r="E11" s="11" t="s">
        <v>32</v>
      </c>
      <c r="F11" s="12" t="s">
        <v>4</v>
      </c>
      <c r="G11" s="12" t="s">
        <v>16</v>
      </c>
      <c r="H11" s="12"/>
      <c r="I11" s="9" t="s">
        <v>13</v>
      </c>
      <c r="J11" s="12">
        <v>4</v>
      </c>
      <c r="K11" s="68" t="s">
        <v>260</v>
      </c>
      <c r="L11" s="9" t="s">
        <v>258</v>
      </c>
      <c r="M11" s="160"/>
      <c r="N11" s="9" t="s">
        <v>258</v>
      </c>
      <c r="O11" s="9"/>
      <c r="P11" s="10"/>
      <c r="Q11" s="118" t="s">
        <v>472</v>
      </c>
      <c r="R11" s="118">
        <f>J11</f>
        <v>4</v>
      </c>
      <c r="S11" s="119" t="s">
        <v>474</v>
      </c>
      <c r="T11" s="120"/>
      <c r="U11" s="121"/>
    </row>
    <row r="12" spans="1:21" x14ac:dyDescent="0.3">
      <c r="A12" s="8">
        <v>11</v>
      </c>
      <c r="B12" s="8" t="s">
        <v>467</v>
      </c>
      <c r="C12" s="9" t="s">
        <v>8</v>
      </c>
      <c r="D12" s="10" t="s">
        <v>33</v>
      </c>
      <c r="E12" s="11" t="s">
        <v>34</v>
      </c>
      <c r="F12" s="12" t="s">
        <v>4</v>
      </c>
      <c r="G12" s="12" t="s">
        <v>16</v>
      </c>
      <c r="H12" s="12"/>
      <c r="I12" s="9" t="s">
        <v>13</v>
      </c>
      <c r="J12" s="12">
        <v>4</v>
      </c>
      <c r="K12" s="67" t="s">
        <v>256</v>
      </c>
      <c r="L12" s="70" t="s">
        <v>257</v>
      </c>
      <c r="M12" s="67" t="s">
        <v>256</v>
      </c>
      <c r="N12" s="174" t="s">
        <v>512</v>
      </c>
      <c r="P12" s="156"/>
      <c r="Q12" s="118">
        <f>IF(I12="SI",J12,"")</f>
        <v>4</v>
      </c>
      <c r="R12" s="118" t="str">
        <f>IF(I12="SI","",J12)</f>
        <v/>
      </c>
      <c r="S12" s="122"/>
      <c r="T12" s="120"/>
      <c r="U12" s="121"/>
    </row>
    <row r="13" spans="1:21" x14ac:dyDescent="0.3">
      <c r="A13" s="8">
        <v>12</v>
      </c>
      <c r="B13" s="8" t="s">
        <v>467</v>
      </c>
      <c r="C13" s="9" t="s">
        <v>8</v>
      </c>
      <c r="D13" s="10" t="s">
        <v>35</v>
      </c>
      <c r="E13" s="11" t="s">
        <v>36</v>
      </c>
      <c r="F13" s="12" t="s">
        <v>4</v>
      </c>
      <c r="G13" s="12" t="s">
        <v>16</v>
      </c>
      <c r="H13" s="12"/>
      <c r="I13" s="9" t="s">
        <v>13</v>
      </c>
      <c r="J13" s="12">
        <v>4</v>
      </c>
      <c r="K13" s="67" t="s">
        <v>256</v>
      </c>
      <c r="L13" s="70" t="s">
        <v>257</v>
      </c>
      <c r="M13" s="67" t="s">
        <v>256</v>
      </c>
      <c r="N13" s="70" t="s">
        <v>257</v>
      </c>
      <c r="O13" s="158" t="s">
        <v>498</v>
      </c>
      <c r="P13" s="156"/>
      <c r="Q13" s="118">
        <f>IF(I13="SI",J13,"")</f>
        <v>4</v>
      </c>
      <c r="R13" s="118" t="str">
        <f>IF(I13="SI","",J13)</f>
        <v/>
      </c>
      <c r="S13" s="122"/>
      <c r="T13" s="120"/>
      <c r="U13" s="121"/>
    </row>
    <row r="14" spans="1:21" x14ac:dyDescent="0.3">
      <c r="A14" s="8">
        <v>88</v>
      </c>
      <c r="B14" s="8" t="s">
        <v>467</v>
      </c>
      <c r="C14" s="9" t="s">
        <v>8</v>
      </c>
      <c r="D14" s="10" t="s">
        <v>180</v>
      </c>
      <c r="E14" s="11" t="s">
        <v>181</v>
      </c>
      <c r="F14" s="12" t="s">
        <v>4</v>
      </c>
      <c r="G14" s="12" t="s">
        <v>16</v>
      </c>
      <c r="H14" s="20" t="s">
        <v>502</v>
      </c>
      <c r="I14" s="9" t="s">
        <v>13</v>
      </c>
      <c r="J14" s="12">
        <v>2</v>
      </c>
      <c r="K14" s="70" t="s">
        <v>262</v>
      </c>
      <c r="L14" s="9" t="s">
        <v>258</v>
      </c>
      <c r="M14" s="164" t="s">
        <v>500</v>
      </c>
      <c r="N14" s="9" t="s">
        <v>258</v>
      </c>
      <c r="O14" s="9"/>
      <c r="Q14" s="118">
        <f>IF(I14="SI",J14,"")</f>
        <v>2</v>
      </c>
      <c r="R14" s="118" t="str">
        <f>IF(I14="SI","",J14)</f>
        <v/>
      </c>
      <c r="S14" s="122"/>
      <c r="T14" s="120"/>
      <c r="U14" s="126"/>
    </row>
    <row r="15" spans="1:21" x14ac:dyDescent="0.3">
      <c r="A15" s="8">
        <v>13</v>
      </c>
      <c r="B15" s="8" t="s">
        <v>467</v>
      </c>
      <c r="C15" s="9" t="s">
        <v>8</v>
      </c>
      <c r="D15" s="10" t="s">
        <v>37</v>
      </c>
      <c r="E15" s="11" t="s">
        <v>38</v>
      </c>
      <c r="F15" s="12" t="s">
        <v>4</v>
      </c>
      <c r="G15" s="12" t="s">
        <v>16</v>
      </c>
      <c r="H15" s="20" t="s">
        <v>502</v>
      </c>
      <c r="I15" s="9" t="s">
        <v>13</v>
      </c>
      <c r="J15" s="12">
        <v>3</v>
      </c>
      <c r="K15" s="165" t="s">
        <v>260</v>
      </c>
      <c r="L15" s="9" t="s">
        <v>258</v>
      </c>
      <c r="M15" s="160"/>
      <c r="N15" s="9" t="s">
        <v>258</v>
      </c>
      <c r="O15" s="9"/>
      <c r="P15" s="10"/>
      <c r="Q15" s="118">
        <f>IF(I15="SI",J15,"")</f>
        <v>3</v>
      </c>
      <c r="R15" s="118" t="str">
        <f>IF(I15="SI","",J15)</f>
        <v/>
      </c>
      <c r="S15" s="122"/>
      <c r="T15" s="120"/>
      <c r="U15" s="121"/>
    </row>
    <row r="16" spans="1:21" x14ac:dyDescent="0.3">
      <c r="A16" s="8">
        <v>14</v>
      </c>
      <c r="B16" s="8" t="s">
        <v>467</v>
      </c>
      <c r="C16" s="9" t="s">
        <v>8</v>
      </c>
      <c r="D16" s="10" t="s">
        <v>39</v>
      </c>
      <c r="E16" s="11" t="s">
        <v>40</v>
      </c>
      <c r="F16" s="12" t="s">
        <v>4</v>
      </c>
      <c r="G16" s="12" t="s">
        <v>16</v>
      </c>
      <c r="H16" s="20" t="s">
        <v>502</v>
      </c>
      <c r="I16" s="9" t="s">
        <v>13</v>
      </c>
      <c r="J16" s="12">
        <v>4</v>
      </c>
      <c r="K16" s="165" t="s">
        <v>260</v>
      </c>
      <c r="L16" s="9" t="s">
        <v>258</v>
      </c>
      <c r="M16" s="160"/>
      <c r="N16" s="9" t="s">
        <v>258</v>
      </c>
      <c r="O16" s="9"/>
      <c r="P16" s="10"/>
      <c r="Q16" s="118">
        <f>IF(I16="SI",J16,"")</f>
        <v>4</v>
      </c>
      <c r="R16" s="118" t="str">
        <f>IF(I16="SI","",J16)</f>
        <v/>
      </c>
      <c r="S16" s="122"/>
      <c r="T16" s="120"/>
      <c r="U16" s="121"/>
    </row>
    <row r="17" spans="1:21" x14ac:dyDescent="0.3">
      <c r="A17" s="8">
        <v>15</v>
      </c>
      <c r="B17" s="8" t="s">
        <v>467</v>
      </c>
      <c r="C17" s="9" t="s">
        <v>8</v>
      </c>
      <c r="D17" s="10" t="s">
        <v>41</v>
      </c>
      <c r="E17" s="11" t="s">
        <v>42</v>
      </c>
      <c r="F17" s="12" t="s">
        <v>4</v>
      </c>
      <c r="G17" s="12" t="s">
        <v>16</v>
      </c>
      <c r="H17" s="12"/>
      <c r="I17" s="9" t="s">
        <v>13</v>
      </c>
      <c r="J17" s="12">
        <v>4</v>
      </c>
      <c r="K17" s="68" t="s">
        <v>260</v>
      </c>
      <c r="L17" s="9" t="s">
        <v>258</v>
      </c>
      <c r="M17" s="160"/>
      <c r="N17" s="9" t="s">
        <v>258</v>
      </c>
      <c r="O17" s="9"/>
      <c r="P17" s="10"/>
      <c r="Q17" s="118" t="s">
        <v>472</v>
      </c>
      <c r="R17" s="118">
        <f>J17</f>
        <v>4</v>
      </c>
      <c r="S17" s="122" t="s">
        <v>480</v>
      </c>
      <c r="T17" s="120"/>
      <c r="U17" s="121"/>
    </row>
    <row r="18" spans="1:21" x14ac:dyDescent="0.3">
      <c r="A18" s="8">
        <v>16</v>
      </c>
      <c r="B18" s="8" t="s">
        <v>467</v>
      </c>
      <c r="C18" s="9" t="s">
        <v>8</v>
      </c>
      <c r="D18" s="10" t="s">
        <v>43</v>
      </c>
      <c r="E18" s="11" t="s">
        <v>44</v>
      </c>
      <c r="F18" s="12" t="s">
        <v>4</v>
      </c>
      <c r="G18" s="12" t="s">
        <v>16</v>
      </c>
      <c r="H18" s="12"/>
      <c r="I18" s="9" t="s">
        <v>13</v>
      </c>
      <c r="J18" s="12">
        <v>3</v>
      </c>
      <c r="K18" s="68" t="s">
        <v>260</v>
      </c>
      <c r="L18" s="9" t="s">
        <v>258</v>
      </c>
      <c r="M18" s="160"/>
      <c r="N18" s="9" t="s">
        <v>258</v>
      </c>
      <c r="O18" s="9"/>
      <c r="P18" s="10"/>
      <c r="Q18" s="118">
        <f>IF(I18="SI",J18,"")</f>
        <v>3</v>
      </c>
      <c r="R18" s="118" t="str">
        <f>IF(I18="SI","",J18)</f>
        <v/>
      </c>
      <c r="S18" s="122"/>
      <c r="T18" s="120"/>
      <c r="U18" s="121"/>
    </row>
    <row r="19" spans="1:21" x14ac:dyDescent="0.3">
      <c r="A19" s="8">
        <v>17</v>
      </c>
      <c r="B19" s="8" t="s">
        <v>467</v>
      </c>
      <c r="C19" s="9" t="s">
        <v>8</v>
      </c>
      <c r="D19" s="10" t="s">
        <v>45</v>
      </c>
      <c r="E19" s="11" t="s">
        <v>46</v>
      </c>
      <c r="F19" s="12" t="s">
        <v>4</v>
      </c>
      <c r="G19" s="12" t="s">
        <v>16</v>
      </c>
      <c r="H19" s="12"/>
      <c r="I19" s="9" t="s">
        <v>13</v>
      </c>
      <c r="J19" s="12">
        <v>3</v>
      </c>
      <c r="K19" s="68" t="s">
        <v>260</v>
      </c>
      <c r="L19" s="9" t="s">
        <v>258</v>
      </c>
      <c r="M19" s="160"/>
      <c r="N19" s="9" t="s">
        <v>258</v>
      </c>
      <c r="O19" s="9"/>
      <c r="P19" s="10"/>
      <c r="Q19" s="118">
        <f>IF(I19="SI",J19,"")</f>
        <v>3</v>
      </c>
      <c r="R19" s="118" t="str">
        <f>IF(I19="SI","",J19)</f>
        <v/>
      </c>
      <c r="S19" s="122"/>
      <c r="T19" s="120"/>
      <c r="U19" s="121"/>
    </row>
    <row r="20" spans="1:21" x14ac:dyDescent="0.3">
      <c r="A20" s="8">
        <v>18</v>
      </c>
      <c r="B20" s="8" t="s">
        <v>467</v>
      </c>
      <c r="C20" s="9" t="s">
        <v>8</v>
      </c>
      <c r="D20" s="10" t="s">
        <v>47</v>
      </c>
      <c r="E20" s="11" t="s">
        <v>48</v>
      </c>
      <c r="F20" s="12" t="s">
        <v>4</v>
      </c>
      <c r="G20" s="12" t="s">
        <v>16</v>
      </c>
      <c r="H20" s="12"/>
      <c r="I20" s="9" t="s">
        <v>13</v>
      </c>
      <c r="J20" s="12">
        <v>3</v>
      </c>
      <c r="K20" s="68" t="s">
        <v>260</v>
      </c>
      <c r="L20" s="9" t="s">
        <v>258</v>
      </c>
      <c r="M20" s="160"/>
      <c r="N20" s="9" t="s">
        <v>258</v>
      </c>
      <c r="O20" s="9"/>
      <c r="P20" s="10"/>
      <c r="Q20" s="118">
        <f>IF(I20="SI",J20,"")</f>
        <v>3</v>
      </c>
      <c r="R20" s="118" t="str">
        <f>IF(I20="SI","",J20)</f>
        <v/>
      </c>
      <c r="S20" s="122"/>
      <c r="T20" s="120"/>
      <c r="U20" s="121"/>
    </row>
    <row r="21" spans="1:21" x14ac:dyDescent="0.3">
      <c r="A21" s="8">
        <v>19</v>
      </c>
      <c r="B21" s="8" t="s">
        <v>467</v>
      </c>
      <c r="C21" s="9" t="s">
        <v>8</v>
      </c>
      <c r="D21" s="10" t="s">
        <v>49</v>
      </c>
      <c r="E21" s="11" t="s">
        <v>50</v>
      </c>
      <c r="F21" s="12" t="s">
        <v>4</v>
      </c>
      <c r="G21" s="12" t="s">
        <v>51</v>
      </c>
      <c r="H21" s="172" t="s">
        <v>505</v>
      </c>
      <c r="I21" s="9" t="s">
        <v>13</v>
      </c>
      <c r="J21" s="12">
        <v>2</v>
      </c>
      <c r="K21" s="68" t="s">
        <v>260</v>
      </c>
      <c r="L21" s="9" t="s">
        <v>258</v>
      </c>
      <c r="M21" s="160"/>
      <c r="N21" s="9" t="s">
        <v>258</v>
      </c>
      <c r="O21" s="9"/>
      <c r="P21" s="10"/>
      <c r="Q21" s="118">
        <f>IF(I21="SI",J21,"")</f>
        <v>2</v>
      </c>
      <c r="R21" s="118" t="str">
        <f>IF(I21="SI","",J21)</f>
        <v/>
      </c>
      <c r="S21" s="122"/>
      <c r="T21" s="120"/>
      <c r="U21" s="121"/>
    </row>
    <row r="22" spans="1:21" x14ac:dyDescent="0.3">
      <c r="A22" s="8">
        <v>20</v>
      </c>
      <c r="B22" s="8" t="s">
        <v>467</v>
      </c>
      <c r="C22" s="9" t="s">
        <v>8</v>
      </c>
      <c r="D22" s="10" t="s">
        <v>52</v>
      </c>
      <c r="E22" s="11" t="s">
        <v>53</v>
      </c>
      <c r="F22" s="12" t="s">
        <v>4</v>
      </c>
      <c r="G22" s="12" t="s">
        <v>51</v>
      </c>
      <c r="H22" s="172" t="s">
        <v>505</v>
      </c>
      <c r="I22" s="9" t="s">
        <v>13</v>
      </c>
      <c r="J22" s="12">
        <v>4</v>
      </c>
      <c r="K22" s="22" t="s">
        <v>465</v>
      </c>
      <c r="L22" s="9" t="s">
        <v>258</v>
      </c>
      <c r="M22" s="67" t="s">
        <v>256</v>
      </c>
      <c r="N22" s="9" t="s">
        <v>258</v>
      </c>
      <c r="O22" s="9"/>
      <c r="P22" s="166" t="s">
        <v>503</v>
      </c>
      <c r="Q22" s="118" t="s">
        <v>472</v>
      </c>
      <c r="R22" s="118">
        <f>J22</f>
        <v>4</v>
      </c>
      <c r="S22" s="122" t="s">
        <v>477</v>
      </c>
      <c r="T22" s="120"/>
      <c r="U22" s="121"/>
    </row>
    <row r="23" spans="1:21" x14ac:dyDescent="0.3">
      <c r="A23" s="8">
        <v>21</v>
      </c>
      <c r="B23" s="8" t="s">
        <v>467</v>
      </c>
      <c r="C23" s="9" t="s">
        <v>8</v>
      </c>
      <c r="D23" s="10" t="s">
        <v>54</v>
      </c>
      <c r="E23" s="11" t="s">
        <v>55</v>
      </c>
      <c r="F23" s="12" t="s">
        <v>4</v>
      </c>
      <c r="G23" s="12" t="s">
        <v>51</v>
      </c>
      <c r="H23" s="12" t="s">
        <v>506</v>
      </c>
      <c r="I23" s="9" t="s">
        <v>13</v>
      </c>
      <c r="J23" s="12">
        <v>4</v>
      </c>
      <c r="K23" s="22" t="s">
        <v>465</v>
      </c>
      <c r="L23" s="9" t="s">
        <v>258</v>
      </c>
      <c r="M23" s="163" t="s">
        <v>501</v>
      </c>
      <c r="N23" s="9" t="s">
        <v>258</v>
      </c>
      <c r="O23" s="9"/>
      <c r="P23" s="10"/>
      <c r="Q23" s="118">
        <f t="shared" ref="Q23:Q32" si="0">IF(I23="SI",J23,"")</f>
        <v>4</v>
      </c>
      <c r="R23" s="118" t="str">
        <f t="shared" ref="R23:R32" si="1">IF(I23="SI","",J23)</f>
        <v/>
      </c>
      <c r="S23" s="122"/>
      <c r="T23" s="120"/>
      <c r="U23" s="121"/>
    </row>
    <row r="24" spans="1:21" x14ac:dyDescent="0.3">
      <c r="A24" s="8">
        <v>22</v>
      </c>
      <c r="B24" s="8" t="s">
        <v>467</v>
      </c>
      <c r="C24" s="9" t="s">
        <v>8</v>
      </c>
      <c r="D24" s="10" t="s">
        <v>56</v>
      </c>
      <c r="E24" s="11" t="s">
        <v>57</v>
      </c>
      <c r="F24" s="12" t="s">
        <v>4</v>
      </c>
      <c r="G24" s="12" t="s">
        <v>51</v>
      </c>
      <c r="H24" s="12" t="s">
        <v>506</v>
      </c>
      <c r="I24" s="9" t="s">
        <v>13</v>
      </c>
      <c r="J24" s="12">
        <v>2</v>
      </c>
      <c r="K24" s="8" t="s">
        <v>261</v>
      </c>
      <c r="L24" s="9" t="s">
        <v>258</v>
      </c>
      <c r="M24" s="160"/>
      <c r="N24" s="9" t="s">
        <v>258</v>
      </c>
      <c r="O24" s="9"/>
      <c r="P24" s="10"/>
      <c r="Q24" s="118">
        <f t="shared" si="0"/>
        <v>2</v>
      </c>
      <c r="R24" s="118" t="str">
        <f t="shared" si="1"/>
        <v/>
      </c>
      <c r="S24" s="122"/>
      <c r="T24" s="120"/>
      <c r="U24" s="121"/>
    </row>
    <row r="25" spans="1:21" x14ac:dyDescent="0.3">
      <c r="A25" s="8">
        <v>23</v>
      </c>
      <c r="B25" s="8" t="s">
        <v>467</v>
      </c>
      <c r="C25" s="9" t="s">
        <v>8</v>
      </c>
      <c r="D25" s="10" t="s">
        <v>58</v>
      </c>
      <c r="E25" s="11" t="s">
        <v>59</v>
      </c>
      <c r="F25" s="12" t="s">
        <v>4</v>
      </c>
      <c r="G25" s="12" t="s">
        <v>51</v>
      </c>
      <c r="H25" s="12" t="s">
        <v>506</v>
      </c>
      <c r="I25" s="9" t="s">
        <v>13</v>
      </c>
      <c r="J25" s="12">
        <v>4</v>
      </c>
      <c r="K25" s="8" t="s">
        <v>261</v>
      </c>
      <c r="L25" s="9" t="s">
        <v>258</v>
      </c>
      <c r="M25" s="160"/>
      <c r="N25" s="9" t="s">
        <v>258</v>
      </c>
      <c r="O25" s="9"/>
      <c r="P25" s="10"/>
      <c r="Q25" s="118">
        <f t="shared" si="0"/>
        <v>4</v>
      </c>
      <c r="R25" s="118" t="str">
        <f t="shared" si="1"/>
        <v/>
      </c>
      <c r="S25" s="122"/>
      <c r="T25" s="120"/>
      <c r="U25" s="121"/>
    </row>
    <row r="26" spans="1:21" x14ac:dyDescent="0.3">
      <c r="A26" s="8">
        <v>24</v>
      </c>
      <c r="B26" s="8" t="s">
        <v>467</v>
      </c>
      <c r="C26" s="9" t="s">
        <v>8</v>
      </c>
      <c r="D26" s="10" t="s">
        <v>60</v>
      </c>
      <c r="E26" s="11" t="s">
        <v>61</v>
      </c>
      <c r="F26" s="12" t="s">
        <v>4</v>
      </c>
      <c r="G26" s="12" t="s">
        <v>51</v>
      </c>
      <c r="H26" s="12" t="s">
        <v>506</v>
      </c>
      <c r="I26" s="9" t="s">
        <v>13</v>
      </c>
      <c r="J26" s="12">
        <v>3</v>
      </c>
      <c r="K26" s="8" t="s">
        <v>261</v>
      </c>
      <c r="L26" s="9" t="s">
        <v>258</v>
      </c>
      <c r="M26" s="160"/>
      <c r="N26" s="9" t="s">
        <v>258</v>
      </c>
      <c r="O26" s="9"/>
      <c r="P26" s="10"/>
      <c r="Q26" s="118">
        <f t="shared" si="0"/>
        <v>3</v>
      </c>
      <c r="R26" s="118" t="str">
        <f t="shared" si="1"/>
        <v/>
      </c>
      <c r="S26" s="122"/>
      <c r="T26" s="120"/>
      <c r="U26" s="121"/>
    </row>
    <row r="27" spans="1:21" x14ac:dyDescent="0.3">
      <c r="A27" s="8">
        <v>25</v>
      </c>
      <c r="B27" s="8" t="s">
        <v>467</v>
      </c>
      <c r="C27" s="9" t="s">
        <v>8</v>
      </c>
      <c r="D27" s="10" t="s">
        <v>62</v>
      </c>
      <c r="E27" s="11" t="s">
        <v>63</v>
      </c>
      <c r="F27" s="12" t="s">
        <v>4</v>
      </c>
      <c r="G27" s="12" t="s">
        <v>51</v>
      </c>
      <c r="H27" s="12" t="s">
        <v>506</v>
      </c>
      <c r="I27" s="9" t="s">
        <v>13</v>
      </c>
      <c r="J27" s="12">
        <v>5</v>
      </c>
      <c r="K27" s="8" t="s">
        <v>261</v>
      </c>
      <c r="L27" s="9" t="s">
        <v>258</v>
      </c>
      <c r="M27" s="160"/>
      <c r="N27" s="9" t="s">
        <v>258</v>
      </c>
      <c r="O27" s="9"/>
      <c r="P27" s="10"/>
      <c r="Q27" s="118">
        <f t="shared" si="0"/>
        <v>5</v>
      </c>
      <c r="R27" s="118" t="str">
        <f t="shared" si="1"/>
        <v/>
      </c>
      <c r="S27" s="122"/>
      <c r="T27" s="120"/>
      <c r="U27" s="121"/>
    </row>
    <row r="28" spans="1:21" x14ac:dyDescent="0.3">
      <c r="A28" s="8">
        <v>26</v>
      </c>
      <c r="B28" s="8" t="s">
        <v>467</v>
      </c>
      <c r="C28" s="9" t="s">
        <v>8</v>
      </c>
      <c r="D28" s="10" t="s">
        <v>64</v>
      </c>
      <c r="E28" s="11" t="s">
        <v>65</v>
      </c>
      <c r="F28" s="12" t="s">
        <v>4</v>
      </c>
      <c r="G28" s="12" t="s">
        <v>51</v>
      </c>
      <c r="H28" s="12" t="s">
        <v>506</v>
      </c>
      <c r="I28" s="9" t="s">
        <v>13</v>
      </c>
      <c r="J28" s="12">
        <v>3</v>
      </c>
      <c r="K28" s="8" t="s">
        <v>261</v>
      </c>
      <c r="L28" s="9" t="s">
        <v>258</v>
      </c>
      <c r="M28" s="160"/>
      <c r="N28" s="9" t="s">
        <v>258</v>
      </c>
      <c r="O28" s="9"/>
      <c r="P28" s="10"/>
      <c r="Q28" s="118">
        <f t="shared" si="0"/>
        <v>3</v>
      </c>
      <c r="R28" s="118" t="str">
        <f t="shared" si="1"/>
        <v/>
      </c>
      <c r="S28" s="122"/>
      <c r="T28" s="120"/>
      <c r="U28" s="121"/>
    </row>
    <row r="29" spans="1:21" x14ac:dyDescent="0.3">
      <c r="A29" s="8">
        <v>27</v>
      </c>
      <c r="B29" s="8" t="s">
        <v>467</v>
      </c>
      <c r="C29" s="9" t="s">
        <v>8</v>
      </c>
      <c r="D29" s="10" t="s">
        <v>66</v>
      </c>
      <c r="E29" s="11" t="s">
        <v>67</v>
      </c>
      <c r="F29" s="12" t="s">
        <v>4</v>
      </c>
      <c r="G29" s="12" t="s">
        <v>51</v>
      </c>
      <c r="H29" s="12" t="s">
        <v>506</v>
      </c>
      <c r="I29" s="9" t="s">
        <v>13</v>
      </c>
      <c r="J29" s="12">
        <v>4</v>
      </c>
      <c r="K29" s="8" t="s">
        <v>261</v>
      </c>
      <c r="L29" s="9" t="s">
        <v>258</v>
      </c>
      <c r="M29" s="160"/>
      <c r="N29" s="9" t="s">
        <v>258</v>
      </c>
      <c r="O29" s="9"/>
      <c r="P29" s="10"/>
      <c r="Q29" s="118">
        <f t="shared" si="0"/>
        <v>4</v>
      </c>
      <c r="R29" s="118" t="str">
        <f t="shared" si="1"/>
        <v/>
      </c>
      <c r="S29" s="122"/>
      <c r="T29" s="120"/>
      <c r="U29" s="121"/>
    </row>
    <row r="30" spans="1:21" x14ac:dyDescent="0.3">
      <c r="A30" s="8">
        <v>28</v>
      </c>
      <c r="B30" s="8" t="s">
        <v>467</v>
      </c>
      <c r="C30" s="9" t="s">
        <v>8</v>
      </c>
      <c r="D30" s="10" t="s">
        <v>68</v>
      </c>
      <c r="E30" s="11" t="s">
        <v>69</v>
      </c>
      <c r="F30" s="12" t="s">
        <v>4</v>
      </c>
      <c r="G30" s="12" t="s">
        <v>51</v>
      </c>
      <c r="H30" s="12" t="s">
        <v>506</v>
      </c>
      <c r="I30" s="9" t="s">
        <v>13</v>
      </c>
      <c r="J30" s="12">
        <v>4</v>
      </c>
      <c r="K30" s="8" t="s">
        <v>261</v>
      </c>
      <c r="L30" s="9" t="s">
        <v>258</v>
      </c>
      <c r="M30" s="160"/>
      <c r="N30" s="9" t="s">
        <v>258</v>
      </c>
      <c r="O30" s="9"/>
      <c r="P30" s="10"/>
      <c r="Q30" s="118">
        <f t="shared" si="0"/>
        <v>4</v>
      </c>
      <c r="R30" s="118" t="str">
        <f t="shared" si="1"/>
        <v/>
      </c>
      <c r="S30" s="122"/>
      <c r="T30" s="120"/>
      <c r="U30" s="121"/>
    </row>
    <row r="31" spans="1:21" x14ac:dyDescent="0.3">
      <c r="A31" s="22">
        <v>72</v>
      </c>
      <c r="B31" s="22" t="s">
        <v>467</v>
      </c>
      <c r="C31" s="23" t="s">
        <v>157</v>
      </c>
      <c r="D31" s="24" t="s">
        <v>158</v>
      </c>
      <c r="E31" s="11" t="s">
        <v>159</v>
      </c>
      <c r="F31" s="17" t="s">
        <v>4</v>
      </c>
      <c r="G31" s="17" t="s">
        <v>16</v>
      </c>
      <c r="H31" s="17"/>
      <c r="I31" s="23" t="s">
        <v>13</v>
      </c>
      <c r="J31" s="17">
        <v>3</v>
      </c>
      <c r="K31" s="67" t="s">
        <v>256</v>
      </c>
      <c r="L31" s="9" t="s">
        <v>258</v>
      </c>
      <c r="M31" s="160"/>
      <c r="N31" s="9" t="s">
        <v>258</v>
      </c>
      <c r="O31" s="9"/>
      <c r="Q31" s="118">
        <f t="shared" si="0"/>
        <v>3</v>
      </c>
      <c r="R31" s="118" t="str">
        <f t="shared" si="1"/>
        <v/>
      </c>
      <c r="S31" s="122"/>
      <c r="T31" s="120"/>
      <c r="U31" s="121"/>
    </row>
    <row r="32" spans="1:21" x14ac:dyDescent="0.3">
      <c r="A32" s="22">
        <v>73</v>
      </c>
      <c r="B32" s="22" t="s">
        <v>467</v>
      </c>
      <c r="C32" s="23" t="s">
        <v>157</v>
      </c>
      <c r="D32" s="24" t="s">
        <v>161</v>
      </c>
      <c r="E32" s="11" t="s">
        <v>159</v>
      </c>
      <c r="F32" s="17" t="s">
        <v>4</v>
      </c>
      <c r="G32" s="17" t="s">
        <v>16</v>
      </c>
      <c r="H32" s="17"/>
      <c r="I32" s="23" t="s">
        <v>13</v>
      </c>
      <c r="J32" s="17">
        <v>4</v>
      </c>
      <c r="K32" s="67" t="s">
        <v>256</v>
      </c>
      <c r="L32" s="9" t="s">
        <v>258</v>
      </c>
      <c r="M32" s="160"/>
      <c r="N32" s="9" t="s">
        <v>258</v>
      </c>
      <c r="O32" s="9"/>
      <c r="Q32" s="118">
        <f t="shared" si="0"/>
        <v>4</v>
      </c>
      <c r="R32" s="118" t="str">
        <f t="shared" si="1"/>
        <v/>
      </c>
      <c r="S32" s="122"/>
      <c r="T32" s="120"/>
      <c r="U32" s="121"/>
    </row>
    <row r="33" spans="1:21" x14ac:dyDescent="0.3">
      <c r="A33" s="8">
        <v>29</v>
      </c>
      <c r="B33" s="8" t="s">
        <v>467</v>
      </c>
      <c r="C33" s="9" t="s">
        <v>8</v>
      </c>
      <c r="D33" s="10" t="s">
        <v>70</v>
      </c>
      <c r="E33" s="11" t="s">
        <v>71</v>
      </c>
      <c r="F33" s="12" t="s">
        <v>4</v>
      </c>
      <c r="G33" s="12" t="s">
        <v>16</v>
      </c>
      <c r="H33" s="12"/>
      <c r="I33" s="9" t="s">
        <v>13</v>
      </c>
      <c r="J33" s="12">
        <v>5</v>
      </c>
      <c r="K33" s="8" t="s">
        <v>507</v>
      </c>
      <c r="L33" s="9" t="s">
        <v>258</v>
      </c>
      <c r="M33" s="160"/>
      <c r="N33" s="9" t="s">
        <v>258</v>
      </c>
      <c r="O33" s="9"/>
      <c r="P33" s="10"/>
      <c r="Q33" s="118" t="s">
        <v>472</v>
      </c>
      <c r="R33" s="118">
        <f>J33</f>
        <v>5</v>
      </c>
      <c r="S33" s="122" t="s">
        <v>484</v>
      </c>
      <c r="T33" s="120"/>
      <c r="U33" s="121"/>
    </row>
    <row r="34" spans="1:21" x14ac:dyDescent="0.3">
      <c r="A34" s="8">
        <v>30</v>
      </c>
      <c r="B34" s="8" t="s">
        <v>467</v>
      </c>
      <c r="C34" s="9" t="s">
        <v>8</v>
      </c>
      <c r="D34" s="10" t="s">
        <v>72</v>
      </c>
      <c r="E34" s="11" t="s">
        <v>73</v>
      </c>
      <c r="F34" s="12" t="s">
        <v>4</v>
      </c>
      <c r="G34" s="12" t="s">
        <v>16</v>
      </c>
      <c r="H34" s="12"/>
      <c r="I34" s="9" t="s">
        <v>13</v>
      </c>
      <c r="J34" s="12">
        <v>3</v>
      </c>
      <c r="K34" s="8" t="s">
        <v>261</v>
      </c>
      <c r="L34" s="9" t="s">
        <v>258</v>
      </c>
      <c r="M34" s="160"/>
      <c r="N34" s="9" t="s">
        <v>258</v>
      </c>
      <c r="O34" s="9"/>
      <c r="P34" s="10"/>
      <c r="Q34" s="118">
        <f>IF(I34="SI",J34,"")</f>
        <v>3</v>
      </c>
      <c r="R34" s="118" t="str">
        <f>IF(I34="SI","",J34)</f>
        <v/>
      </c>
      <c r="S34" s="122"/>
      <c r="T34" s="120"/>
      <c r="U34" s="121"/>
    </row>
    <row r="35" spans="1:21" x14ac:dyDescent="0.3">
      <c r="A35" s="8">
        <v>31</v>
      </c>
      <c r="B35" s="8" t="s">
        <v>467</v>
      </c>
      <c r="C35" s="9" t="s">
        <v>8</v>
      </c>
      <c r="D35" s="10" t="s">
        <v>74</v>
      </c>
      <c r="E35" s="11" t="s">
        <v>75</v>
      </c>
      <c r="F35" s="12" t="s">
        <v>4</v>
      </c>
      <c r="G35" s="12" t="s">
        <v>16</v>
      </c>
      <c r="H35" s="12"/>
      <c r="I35" s="9" t="s">
        <v>13</v>
      </c>
      <c r="J35" s="12">
        <v>2</v>
      </c>
      <c r="K35" s="8" t="s">
        <v>261</v>
      </c>
      <c r="L35" s="9" t="s">
        <v>258</v>
      </c>
      <c r="M35" s="160"/>
      <c r="N35" s="9" t="s">
        <v>258</v>
      </c>
      <c r="O35" s="9"/>
      <c r="P35" s="10"/>
      <c r="Q35" s="118">
        <f>IF(I35="SI",J35,"")</f>
        <v>2</v>
      </c>
      <c r="R35" s="118" t="str">
        <f>IF(I35="SI","",J35)</f>
        <v/>
      </c>
      <c r="S35" s="122"/>
      <c r="T35" s="120"/>
      <c r="U35" s="121"/>
    </row>
    <row r="36" spans="1:21" x14ac:dyDescent="0.3">
      <c r="A36" s="8">
        <v>32</v>
      </c>
      <c r="B36" s="8" t="s">
        <v>467</v>
      </c>
      <c r="C36" s="9" t="s">
        <v>8</v>
      </c>
      <c r="D36" s="10" t="s">
        <v>76</v>
      </c>
      <c r="E36" s="14" t="s">
        <v>77</v>
      </c>
      <c r="F36" s="12" t="s">
        <v>4</v>
      </c>
      <c r="G36" s="12" t="s">
        <v>16</v>
      </c>
      <c r="H36" s="12"/>
      <c r="I36" s="9" t="s">
        <v>13</v>
      </c>
      <c r="J36" s="15">
        <v>4</v>
      </c>
      <c r="K36" s="8" t="s">
        <v>507</v>
      </c>
      <c r="L36" s="9" t="s">
        <v>258</v>
      </c>
      <c r="M36" s="160"/>
      <c r="N36" s="9" t="s">
        <v>258</v>
      </c>
      <c r="O36" s="9"/>
      <c r="P36" s="10"/>
      <c r="Q36" s="118" t="s">
        <v>472</v>
      </c>
      <c r="R36" s="118">
        <f>J36</f>
        <v>4</v>
      </c>
      <c r="S36" s="122" t="s">
        <v>479</v>
      </c>
      <c r="T36" s="120"/>
      <c r="U36" s="121"/>
    </row>
    <row r="37" spans="1:21" x14ac:dyDescent="0.3">
      <c r="A37" s="8">
        <v>33</v>
      </c>
      <c r="B37" s="8" t="s">
        <v>467</v>
      </c>
      <c r="C37" s="9" t="s">
        <v>8</v>
      </c>
      <c r="D37" s="10" t="s">
        <v>78</v>
      </c>
      <c r="E37" s="30" t="s">
        <v>79</v>
      </c>
      <c r="F37" s="12" t="s">
        <v>4</v>
      </c>
      <c r="G37" s="12" t="s">
        <v>16</v>
      </c>
      <c r="H37" s="12"/>
      <c r="I37" s="9" t="s">
        <v>13</v>
      </c>
      <c r="J37" s="15">
        <v>5</v>
      </c>
      <c r="K37" s="175" t="s">
        <v>507</v>
      </c>
      <c r="L37" s="9" t="s">
        <v>258</v>
      </c>
      <c r="M37" s="160"/>
      <c r="N37" s="9" t="s">
        <v>258</v>
      </c>
      <c r="O37" s="9"/>
      <c r="P37" s="10"/>
      <c r="Q37" s="118" t="s">
        <v>472</v>
      </c>
      <c r="R37" s="118">
        <f>J37</f>
        <v>5</v>
      </c>
      <c r="S37" s="122" t="s">
        <v>478</v>
      </c>
      <c r="T37" s="120"/>
      <c r="U37" s="121"/>
    </row>
    <row r="38" spans="1:21" x14ac:dyDescent="0.3">
      <c r="A38" s="8">
        <v>34</v>
      </c>
      <c r="B38" s="8" t="s">
        <v>467</v>
      </c>
      <c r="C38" s="9" t="s">
        <v>8</v>
      </c>
      <c r="D38" s="10" t="s">
        <v>80</v>
      </c>
      <c r="E38" s="30" t="s">
        <v>81</v>
      </c>
      <c r="F38" s="12" t="s">
        <v>4</v>
      </c>
      <c r="G38" s="12" t="s">
        <v>16</v>
      </c>
      <c r="H38" s="12"/>
      <c r="I38" s="9" t="s">
        <v>13</v>
      </c>
      <c r="J38" s="15">
        <v>4</v>
      </c>
      <c r="K38" s="175" t="s">
        <v>507</v>
      </c>
      <c r="L38" s="9" t="s">
        <v>258</v>
      </c>
      <c r="M38" s="160"/>
      <c r="N38" s="9" t="s">
        <v>258</v>
      </c>
      <c r="O38" s="9"/>
      <c r="P38" s="10"/>
      <c r="Q38" s="118" t="s">
        <v>472</v>
      </c>
      <c r="R38" s="118">
        <f>J38</f>
        <v>4</v>
      </c>
      <c r="S38" s="119" t="s">
        <v>474</v>
      </c>
      <c r="T38" s="120"/>
      <c r="U38" s="121"/>
    </row>
    <row r="39" spans="1:21" x14ac:dyDescent="0.3">
      <c r="A39" s="8">
        <v>89</v>
      </c>
      <c r="B39" s="8" t="s">
        <v>467</v>
      </c>
      <c r="C39" s="9" t="s">
        <v>8</v>
      </c>
      <c r="D39" s="10" t="s">
        <v>182</v>
      </c>
      <c r="E39" s="30" t="s">
        <v>183</v>
      </c>
      <c r="F39" s="12" t="s">
        <v>4</v>
      </c>
      <c r="G39" s="12" t="s">
        <v>16</v>
      </c>
      <c r="H39" s="12"/>
      <c r="I39" s="9" t="s">
        <v>13</v>
      </c>
      <c r="J39" s="15">
        <v>4</v>
      </c>
      <c r="K39" s="70" t="s">
        <v>262</v>
      </c>
      <c r="L39" s="9" t="s">
        <v>258</v>
      </c>
      <c r="M39" s="164" t="s">
        <v>500</v>
      </c>
      <c r="N39" s="9" t="s">
        <v>258</v>
      </c>
      <c r="O39" s="9"/>
      <c r="Q39" s="118">
        <f>IF(I39="SI",J39,"")</f>
        <v>4</v>
      </c>
      <c r="R39" s="118" t="str">
        <f>IF(I39="SI","",J39)</f>
        <v/>
      </c>
      <c r="S39" s="122"/>
      <c r="T39" s="120"/>
      <c r="U39" s="126"/>
    </row>
    <row r="40" spans="1:21" x14ac:dyDescent="0.3">
      <c r="A40" s="8">
        <v>35</v>
      </c>
      <c r="B40" s="8" t="s">
        <v>467</v>
      </c>
      <c r="C40" s="9" t="s">
        <v>8</v>
      </c>
      <c r="D40" s="10" t="s">
        <v>82</v>
      </c>
      <c r="E40" s="11" t="s">
        <v>83</v>
      </c>
      <c r="F40" s="12" t="s">
        <v>4</v>
      </c>
      <c r="G40" s="12" t="s">
        <v>51</v>
      </c>
      <c r="H40" s="172" t="s">
        <v>505</v>
      </c>
      <c r="I40" s="9" t="s">
        <v>13</v>
      </c>
      <c r="J40" s="12">
        <v>4</v>
      </c>
      <c r="K40" s="8" t="s">
        <v>507</v>
      </c>
      <c r="L40" s="9" t="s">
        <v>258</v>
      </c>
      <c r="M40" s="160"/>
      <c r="N40" s="9" t="s">
        <v>258</v>
      </c>
      <c r="O40" s="9"/>
      <c r="P40" s="10"/>
      <c r="Q40" s="118">
        <f>IF(I40="SI",J40,"")</f>
        <v>4</v>
      </c>
      <c r="R40" s="118" t="str">
        <f>IF(I40="SI","",J40)</f>
        <v/>
      </c>
      <c r="S40" s="122"/>
      <c r="T40" s="120"/>
      <c r="U40" s="121"/>
    </row>
    <row r="41" spans="1:21" x14ac:dyDescent="0.3">
      <c r="A41" s="8">
        <v>36</v>
      </c>
      <c r="B41" s="8" t="s">
        <v>467</v>
      </c>
      <c r="C41" s="9" t="s">
        <v>8</v>
      </c>
      <c r="D41" s="10" t="s">
        <v>85</v>
      </c>
      <c r="E41" s="11" t="s">
        <v>86</v>
      </c>
      <c r="F41" s="12" t="s">
        <v>4</v>
      </c>
      <c r="G41" s="12" t="s">
        <v>51</v>
      </c>
      <c r="H41" s="172" t="s">
        <v>505</v>
      </c>
      <c r="I41" s="9" t="s">
        <v>13</v>
      </c>
      <c r="J41" s="180">
        <v>4</v>
      </c>
      <c r="K41" s="8" t="s">
        <v>507</v>
      </c>
      <c r="L41" s="9" t="s">
        <v>258</v>
      </c>
      <c r="M41" s="160"/>
      <c r="N41" s="9" t="s">
        <v>258</v>
      </c>
      <c r="O41" s="9"/>
      <c r="P41" s="10"/>
      <c r="Q41" s="118">
        <f>IF(I41="SI",J41,"")</f>
        <v>4</v>
      </c>
      <c r="R41" s="118" t="str">
        <f>IF(I41="SI","",J41)</f>
        <v/>
      </c>
      <c r="S41" s="122"/>
      <c r="T41" s="120"/>
      <c r="U41" s="121"/>
    </row>
    <row r="42" spans="1:21" x14ac:dyDescent="0.3">
      <c r="A42" s="8">
        <v>37</v>
      </c>
      <c r="B42" s="8" t="s">
        <v>467</v>
      </c>
      <c r="C42" s="9" t="s">
        <v>8</v>
      </c>
      <c r="D42" s="10" t="s">
        <v>87</v>
      </c>
      <c r="E42" s="11" t="s">
        <v>88</v>
      </c>
      <c r="F42" s="12" t="s">
        <v>4</v>
      </c>
      <c r="G42" s="12" t="s">
        <v>51</v>
      </c>
      <c r="H42" s="172" t="s">
        <v>505</v>
      </c>
      <c r="I42" s="9" t="s">
        <v>13</v>
      </c>
      <c r="J42" s="12">
        <v>3</v>
      </c>
      <c r="K42" s="8" t="s">
        <v>507</v>
      </c>
      <c r="L42" s="9" t="s">
        <v>258</v>
      </c>
      <c r="M42" s="160"/>
      <c r="N42" s="9" t="s">
        <v>258</v>
      </c>
      <c r="O42" s="9"/>
      <c r="P42" s="10"/>
      <c r="Q42" s="118">
        <f>IF(I42="SI",J42,"")</f>
        <v>3</v>
      </c>
      <c r="R42" s="118" t="str">
        <f>IF(I42="SI","",J42)</f>
        <v/>
      </c>
      <c r="S42" s="122"/>
      <c r="T42" s="120"/>
      <c r="U42" s="121"/>
    </row>
    <row r="43" spans="1:21" x14ac:dyDescent="0.3">
      <c r="A43" s="8">
        <v>38</v>
      </c>
      <c r="B43" s="8" t="s">
        <v>467</v>
      </c>
      <c r="C43" s="9" t="s">
        <v>8</v>
      </c>
      <c r="D43" s="10" t="s">
        <v>89</v>
      </c>
      <c r="E43" s="11" t="s">
        <v>90</v>
      </c>
      <c r="F43" s="12" t="s">
        <v>4</v>
      </c>
      <c r="G43" s="12" t="s">
        <v>51</v>
      </c>
      <c r="H43" s="172" t="s">
        <v>505</v>
      </c>
      <c r="I43" s="9" t="s">
        <v>13</v>
      </c>
      <c r="J43" s="12">
        <v>3</v>
      </c>
      <c r="K43" s="175" t="s">
        <v>507</v>
      </c>
      <c r="L43" s="9" t="s">
        <v>258</v>
      </c>
      <c r="M43" s="160"/>
      <c r="N43" s="9" t="s">
        <v>258</v>
      </c>
      <c r="O43" s="9"/>
      <c r="P43" s="10"/>
      <c r="Q43" s="118">
        <f>IF(I43="SI",J43,"")</f>
        <v>3</v>
      </c>
      <c r="R43" s="118" t="str">
        <f>IF(I43="SI","",J43)</f>
        <v/>
      </c>
      <c r="S43" s="122"/>
      <c r="T43" s="120"/>
      <c r="U43" s="121"/>
    </row>
    <row r="44" spans="1:21" x14ac:dyDescent="0.3">
      <c r="A44" s="8">
        <v>39</v>
      </c>
      <c r="B44" s="8" t="s">
        <v>467</v>
      </c>
      <c r="C44" s="9" t="s">
        <v>8</v>
      </c>
      <c r="D44" s="10" t="s">
        <v>91</v>
      </c>
      <c r="E44" s="11" t="s">
        <v>92</v>
      </c>
      <c r="F44" s="12" t="s">
        <v>4</v>
      </c>
      <c r="G44" s="12" t="s">
        <v>51</v>
      </c>
      <c r="H44" s="172" t="s">
        <v>505</v>
      </c>
      <c r="I44" s="9" t="s">
        <v>13</v>
      </c>
      <c r="J44" s="12">
        <v>5</v>
      </c>
      <c r="K44" s="175" t="s">
        <v>507</v>
      </c>
      <c r="L44" s="9" t="s">
        <v>258</v>
      </c>
      <c r="M44" s="160"/>
      <c r="N44" s="9" t="s">
        <v>258</v>
      </c>
      <c r="O44" s="9"/>
      <c r="P44" s="170" t="s">
        <v>508</v>
      </c>
      <c r="Q44" s="124" t="s">
        <v>472</v>
      </c>
      <c r="R44" s="124">
        <f>J44</f>
        <v>5</v>
      </c>
      <c r="S44" s="169" t="s">
        <v>474</v>
      </c>
      <c r="T44" s="120"/>
      <c r="U44" s="121"/>
    </row>
    <row r="45" spans="1:21" x14ac:dyDescent="0.3">
      <c r="A45" s="8">
        <v>40</v>
      </c>
      <c r="B45" s="8" t="s">
        <v>467</v>
      </c>
      <c r="C45" s="9" t="s">
        <v>8</v>
      </c>
      <c r="D45" s="10" t="s">
        <v>93</v>
      </c>
      <c r="E45" s="11" t="s">
        <v>94</v>
      </c>
      <c r="F45" s="12" t="s">
        <v>4</v>
      </c>
      <c r="G45" s="12" t="s">
        <v>51</v>
      </c>
      <c r="H45" s="172" t="s">
        <v>505</v>
      </c>
      <c r="I45" s="9" t="s">
        <v>13</v>
      </c>
      <c r="J45" s="12">
        <v>4</v>
      </c>
      <c r="K45" s="8" t="s">
        <v>261</v>
      </c>
      <c r="L45" s="9" t="s">
        <v>258</v>
      </c>
      <c r="M45" s="160"/>
      <c r="N45" s="9" t="s">
        <v>258</v>
      </c>
      <c r="O45" s="9"/>
      <c r="P45" s="10"/>
      <c r="Q45" s="118" t="s">
        <v>472</v>
      </c>
      <c r="R45" s="118">
        <f>J45</f>
        <v>4</v>
      </c>
      <c r="S45" s="122" t="s">
        <v>473</v>
      </c>
      <c r="T45" s="120"/>
      <c r="U45" s="121"/>
    </row>
    <row r="46" spans="1:21" x14ac:dyDescent="0.3">
      <c r="A46" s="8">
        <v>43</v>
      </c>
      <c r="B46" s="8" t="s">
        <v>467</v>
      </c>
      <c r="C46" s="9" t="s">
        <v>8</v>
      </c>
      <c r="D46" s="10" t="s">
        <v>99</v>
      </c>
      <c r="E46" s="11" t="s">
        <v>100</v>
      </c>
      <c r="F46" s="12" t="s">
        <v>4</v>
      </c>
      <c r="G46" s="12" t="s">
        <v>51</v>
      </c>
      <c r="H46" s="172" t="s">
        <v>505</v>
      </c>
      <c r="I46" s="9" t="s">
        <v>13</v>
      </c>
      <c r="J46" s="12">
        <v>5</v>
      </c>
      <c r="K46" s="8" t="s">
        <v>261</v>
      </c>
      <c r="L46" s="9" t="s">
        <v>258</v>
      </c>
      <c r="M46" s="160"/>
      <c r="N46" s="9" t="s">
        <v>258</v>
      </c>
      <c r="O46" s="9"/>
      <c r="P46" s="170" t="s">
        <v>509</v>
      </c>
      <c r="Q46" s="124" t="s">
        <v>472</v>
      </c>
      <c r="R46" s="124">
        <f>J46</f>
        <v>5</v>
      </c>
      <c r="S46" s="171" t="s">
        <v>489</v>
      </c>
      <c r="T46" s="120"/>
      <c r="U46" s="121"/>
    </row>
    <row r="47" spans="1:21" x14ac:dyDescent="0.3">
      <c r="A47" s="8">
        <v>41</v>
      </c>
      <c r="B47" s="8" t="s">
        <v>467</v>
      </c>
      <c r="C47" s="9" t="s">
        <v>8</v>
      </c>
      <c r="D47" s="10" t="s">
        <v>95</v>
      </c>
      <c r="E47" s="11" t="s">
        <v>96</v>
      </c>
      <c r="F47" s="12" t="s">
        <v>4</v>
      </c>
      <c r="G47" s="12" t="s">
        <v>51</v>
      </c>
      <c r="H47" s="172" t="s">
        <v>505</v>
      </c>
      <c r="I47" s="9" t="s">
        <v>13</v>
      </c>
      <c r="J47" s="12">
        <v>4</v>
      </c>
      <c r="K47" s="175" t="s">
        <v>507</v>
      </c>
      <c r="L47" s="9" t="s">
        <v>258</v>
      </c>
      <c r="M47" s="160"/>
      <c r="N47" s="9" t="s">
        <v>258</v>
      </c>
      <c r="O47" s="9"/>
      <c r="P47" s="10"/>
      <c r="Q47" s="118" t="s">
        <v>472</v>
      </c>
      <c r="R47" s="118">
        <f>J47</f>
        <v>4</v>
      </c>
      <c r="S47" s="122" t="s">
        <v>479</v>
      </c>
      <c r="T47" s="120"/>
      <c r="U47" s="121"/>
    </row>
    <row r="48" spans="1:21" x14ac:dyDescent="0.3">
      <c r="A48" s="8">
        <v>42</v>
      </c>
      <c r="B48" s="8" t="s">
        <v>467</v>
      </c>
      <c r="C48" s="9" t="s">
        <v>8</v>
      </c>
      <c r="D48" s="10" t="s">
        <v>97</v>
      </c>
      <c r="E48" s="11" t="s">
        <v>98</v>
      </c>
      <c r="F48" s="12" t="s">
        <v>4</v>
      </c>
      <c r="G48" s="12" t="s">
        <v>51</v>
      </c>
      <c r="H48" s="172" t="s">
        <v>505</v>
      </c>
      <c r="I48" s="9" t="s">
        <v>13</v>
      </c>
      <c r="J48" s="12">
        <v>4</v>
      </c>
      <c r="K48" s="175" t="s">
        <v>507</v>
      </c>
      <c r="L48" s="9" t="s">
        <v>258</v>
      </c>
      <c r="M48" s="160"/>
      <c r="N48" s="9" t="s">
        <v>258</v>
      </c>
      <c r="O48" s="9"/>
      <c r="P48" s="10"/>
      <c r="Q48" s="118" t="s">
        <v>472</v>
      </c>
      <c r="R48" s="118">
        <f>J48</f>
        <v>4</v>
      </c>
      <c r="S48" s="123" t="s">
        <v>485</v>
      </c>
      <c r="T48" s="120"/>
      <c r="U48" s="121"/>
    </row>
    <row r="49" spans="1:21" x14ac:dyDescent="0.3">
      <c r="A49" s="8">
        <v>44</v>
      </c>
      <c r="B49" s="8" t="s">
        <v>467</v>
      </c>
      <c r="C49" s="9" t="s">
        <v>8</v>
      </c>
      <c r="D49" s="10" t="s">
        <v>101</v>
      </c>
      <c r="E49" s="11" t="s">
        <v>102</v>
      </c>
      <c r="F49" s="12" t="s">
        <v>4</v>
      </c>
      <c r="G49" s="12" t="s">
        <v>51</v>
      </c>
      <c r="H49" s="172" t="s">
        <v>505</v>
      </c>
      <c r="I49" s="9" t="s">
        <v>13</v>
      </c>
      <c r="J49" s="12">
        <v>4</v>
      </c>
      <c r="K49" s="8" t="s">
        <v>261</v>
      </c>
      <c r="L49" s="9" t="s">
        <v>258</v>
      </c>
      <c r="M49" s="160"/>
      <c r="N49" s="9" t="s">
        <v>258</v>
      </c>
      <c r="O49" s="9"/>
      <c r="P49" s="10"/>
      <c r="Q49" s="124">
        <v>2</v>
      </c>
      <c r="R49" s="124">
        <v>2</v>
      </c>
      <c r="S49" s="119" t="s">
        <v>482</v>
      </c>
      <c r="T49" s="120"/>
      <c r="U49" s="121"/>
    </row>
    <row r="50" spans="1:21" x14ac:dyDescent="0.3">
      <c r="A50" s="8">
        <v>45</v>
      </c>
      <c r="B50" s="8" t="s">
        <v>467</v>
      </c>
      <c r="C50" s="9" t="s">
        <v>8</v>
      </c>
      <c r="D50" s="10" t="s">
        <v>103</v>
      </c>
      <c r="E50" s="11" t="s">
        <v>104</v>
      </c>
      <c r="F50" s="12" t="s">
        <v>4</v>
      </c>
      <c r="G50" s="12" t="s">
        <v>51</v>
      </c>
      <c r="H50" s="172" t="s">
        <v>505</v>
      </c>
      <c r="I50" s="9" t="s">
        <v>13</v>
      </c>
      <c r="J50" s="12">
        <v>3</v>
      </c>
      <c r="K50" s="8" t="s">
        <v>261</v>
      </c>
      <c r="L50" s="9" t="s">
        <v>258</v>
      </c>
      <c r="M50" s="160"/>
      <c r="N50" s="9" t="s">
        <v>258</v>
      </c>
      <c r="O50" s="9"/>
      <c r="P50" s="10"/>
      <c r="Q50" s="118">
        <f>IF(I50="SI",J50,"")</f>
        <v>3</v>
      </c>
      <c r="R50" s="118" t="str">
        <f>IF(I50="SI","",J50)</f>
        <v/>
      </c>
      <c r="S50" s="122"/>
      <c r="T50" s="120"/>
      <c r="U50" s="121"/>
    </row>
    <row r="51" spans="1:21" x14ac:dyDescent="0.3">
      <c r="A51" s="8">
        <v>46</v>
      </c>
      <c r="B51" s="8" t="s">
        <v>467</v>
      </c>
      <c r="C51" s="9" t="s">
        <v>8</v>
      </c>
      <c r="D51" s="10" t="s">
        <v>105</v>
      </c>
      <c r="E51" s="11" t="s">
        <v>106</v>
      </c>
      <c r="F51" s="12" t="s">
        <v>4</v>
      </c>
      <c r="G51" s="12" t="s">
        <v>51</v>
      </c>
      <c r="H51" s="172" t="s">
        <v>505</v>
      </c>
      <c r="I51" s="9" t="s">
        <v>13</v>
      </c>
      <c r="J51" s="12">
        <v>4</v>
      </c>
      <c r="K51" s="8" t="s">
        <v>261</v>
      </c>
      <c r="L51" s="9" t="s">
        <v>258</v>
      </c>
      <c r="M51" s="160"/>
      <c r="N51" s="9" t="s">
        <v>258</v>
      </c>
      <c r="O51" s="9"/>
      <c r="P51" s="110" t="s">
        <v>486</v>
      </c>
      <c r="Q51" s="118" t="s">
        <v>472</v>
      </c>
      <c r="R51" s="118">
        <f>J51</f>
        <v>4</v>
      </c>
      <c r="S51" s="122" t="s">
        <v>476</v>
      </c>
      <c r="T51" s="120"/>
      <c r="U51" s="121"/>
    </row>
    <row r="52" spans="1:21" x14ac:dyDescent="0.3">
      <c r="A52" s="8">
        <v>47</v>
      </c>
      <c r="B52" s="8" t="s">
        <v>467</v>
      </c>
      <c r="C52" s="9" t="s">
        <v>8</v>
      </c>
      <c r="D52" s="10" t="s">
        <v>107</v>
      </c>
      <c r="E52" s="11" t="s">
        <v>108</v>
      </c>
      <c r="F52" s="12" t="s">
        <v>4</v>
      </c>
      <c r="G52" s="12" t="s">
        <v>51</v>
      </c>
      <c r="H52" s="172" t="s">
        <v>505</v>
      </c>
      <c r="I52" s="9" t="s">
        <v>13</v>
      </c>
      <c r="J52" s="12">
        <v>6</v>
      </c>
      <c r="K52" s="8" t="s">
        <v>261</v>
      </c>
      <c r="L52" s="9" t="s">
        <v>258</v>
      </c>
      <c r="M52" s="160"/>
      <c r="N52" s="9" t="s">
        <v>258</v>
      </c>
      <c r="O52" s="9"/>
      <c r="P52" s="10"/>
      <c r="Q52" s="118" t="s">
        <v>472</v>
      </c>
      <c r="R52" s="118">
        <f>J52</f>
        <v>6</v>
      </c>
      <c r="S52" s="125" t="s">
        <v>481</v>
      </c>
      <c r="T52" s="120"/>
      <c r="U52" s="121"/>
    </row>
    <row r="53" spans="1:21" x14ac:dyDescent="0.3">
      <c r="A53" s="8">
        <v>48</v>
      </c>
      <c r="B53" s="8" t="s">
        <v>467</v>
      </c>
      <c r="C53" s="9" t="s">
        <v>8</v>
      </c>
      <c r="D53" s="10" t="s">
        <v>109</v>
      </c>
      <c r="E53" s="11" t="s">
        <v>110</v>
      </c>
      <c r="F53" s="12" t="s">
        <v>4</v>
      </c>
      <c r="G53" s="12" t="s">
        <v>51</v>
      </c>
      <c r="H53" s="12" t="s">
        <v>506</v>
      </c>
      <c r="I53" s="9" t="s">
        <v>13</v>
      </c>
      <c r="J53" s="12">
        <v>3</v>
      </c>
      <c r="K53" s="8" t="s">
        <v>261</v>
      </c>
      <c r="L53" s="9" t="s">
        <v>258</v>
      </c>
      <c r="M53" s="160"/>
      <c r="N53" s="9" t="s">
        <v>258</v>
      </c>
      <c r="O53" s="9"/>
      <c r="P53" s="10"/>
      <c r="Q53" s="118">
        <f>IF(I53="SI",J53,"")</f>
        <v>3</v>
      </c>
      <c r="R53" s="118" t="str">
        <f>IF(I53="SI","",J53)</f>
        <v/>
      </c>
      <c r="S53" s="122"/>
      <c r="T53" s="120"/>
      <c r="U53" s="121"/>
    </row>
    <row r="54" spans="1:21" x14ac:dyDescent="0.3">
      <c r="A54" s="8">
        <v>49</v>
      </c>
      <c r="B54" s="8" t="s">
        <v>467</v>
      </c>
      <c r="C54" s="9" t="s">
        <v>8</v>
      </c>
      <c r="D54" s="10" t="s">
        <v>111</v>
      </c>
      <c r="E54" s="11" t="s">
        <v>112</v>
      </c>
      <c r="F54" s="12" t="s">
        <v>4</v>
      </c>
      <c r="G54" s="12" t="s">
        <v>51</v>
      </c>
      <c r="H54" s="12" t="s">
        <v>506</v>
      </c>
      <c r="I54" s="9" t="s">
        <v>13</v>
      </c>
      <c r="J54" s="12">
        <v>4</v>
      </c>
      <c r="K54" s="8" t="s">
        <v>261</v>
      </c>
      <c r="L54" s="9" t="s">
        <v>258</v>
      </c>
      <c r="M54" s="160"/>
      <c r="N54" s="9" t="s">
        <v>258</v>
      </c>
      <c r="O54" s="9"/>
      <c r="P54" s="10"/>
      <c r="Q54" s="118" t="s">
        <v>472</v>
      </c>
      <c r="R54" s="118">
        <f>J54</f>
        <v>4</v>
      </c>
      <c r="S54" s="123" t="s">
        <v>485</v>
      </c>
      <c r="T54" s="120"/>
      <c r="U54" s="121"/>
    </row>
    <row r="55" spans="1:21" x14ac:dyDescent="0.3">
      <c r="A55" s="8">
        <v>50</v>
      </c>
      <c r="B55" s="8" t="s">
        <v>467</v>
      </c>
      <c r="C55" s="9" t="s">
        <v>8</v>
      </c>
      <c r="D55" s="10" t="s">
        <v>113</v>
      </c>
      <c r="E55" s="11" t="s">
        <v>114</v>
      </c>
      <c r="F55" s="12" t="s">
        <v>4</v>
      </c>
      <c r="G55" s="12" t="s">
        <v>51</v>
      </c>
      <c r="H55" s="12" t="s">
        <v>506</v>
      </c>
      <c r="I55" s="9" t="s">
        <v>13</v>
      </c>
      <c r="J55" s="12">
        <v>3</v>
      </c>
      <c r="K55" s="8" t="s">
        <v>261</v>
      </c>
      <c r="L55" s="9" t="s">
        <v>258</v>
      </c>
      <c r="M55" s="160"/>
      <c r="N55" s="9" t="s">
        <v>258</v>
      </c>
      <c r="O55" s="9"/>
      <c r="P55" s="10"/>
      <c r="Q55" s="118" t="s">
        <v>472</v>
      </c>
      <c r="R55" s="118">
        <f>J55</f>
        <v>3</v>
      </c>
      <c r="S55" s="122" t="s">
        <v>483</v>
      </c>
      <c r="T55" s="120"/>
      <c r="U55" s="121"/>
    </row>
    <row r="56" spans="1:21" x14ac:dyDescent="0.3">
      <c r="A56" s="8">
        <v>51</v>
      </c>
      <c r="B56" s="8" t="s">
        <v>467</v>
      </c>
      <c r="C56" s="9" t="s">
        <v>8</v>
      </c>
      <c r="D56" s="10" t="s">
        <v>115</v>
      </c>
      <c r="E56" s="11" t="s">
        <v>116</v>
      </c>
      <c r="F56" s="12" t="s">
        <v>4</v>
      </c>
      <c r="G56" s="12" t="s">
        <v>51</v>
      </c>
      <c r="H56" s="12" t="s">
        <v>506</v>
      </c>
      <c r="I56" s="9" t="s">
        <v>13</v>
      </c>
      <c r="J56" s="12">
        <v>3</v>
      </c>
      <c r="K56" s="8" t="s">
        <v>261</v>
      </c>
      <c r="L56" s="9" t="s">
        <v>258</v>
      </c>
      <c r="M56" s="160"/>
      <c r="N56" s="9" t="s">
        <v>258</v>
      </c>
      <c r="O56" s="9"/>
      <c r="P56" s="10"/>
      <c r="Q56" s="124">
        <v>2</v>
      </c>
      <c r="R56" s="124">
        <v>1</v>
      </c>
      <c r="S56" s="122" t="s">
        <v>483</v>
      </c>
      <c r="T56" s="120"/>
      <c r="U56" s="121"/>
    </row>
    <row r="57" spans="1:21" x14ac:dyDescent="0.3">
      <c r="A57" s="8">
        <v>52</v>
      </c>
      <c r="B57" s="8" t="s">
        <v>467</v>
      </c>
      <c r="C57" s="9" t="s">
        <v>8</v>
      </c>
      <c r="D57" s="10" t="s">
        <v>117</v>
      </c>
      <c r="E57" s="11" t="s">
        <v>118</v>
      </c>
      <c r="F57" s="12" t="s">
        <v>4</v>
      </c>
      <c r="G57" s="12" t="s">
        <v>51</v>
      </c>
      <c r="H57" s="12" t="s">
        <v>506</v>
      </c>
      <c r="I57" s="9" t="s">
        <v>13</v>
      </c>
      <c r="J57" s="12">
        <v>3</v>
      </c>
      <c r="K57" s="8" t="s">
        <v>261</v>
      </c>
      <c r="L57" s="9" t="s">
        <v>258</v>
      </c>
      <c r="M57" s="160"/>
      <c r="N57" s="9" t="s">
        <v>258</v>
      </c>
      <c r="O57" s="9"/>
      <c r="P57" s="10"/>
      <c r="Q57" s="118">
        <f>IF(I57="SI",J57,"")</f>
        <v>3</v>
      </c>
      <c r="R57" s="118" t="str">
        <f>IF(I57="SI","",J57)</f>
        <v/>
      </c>
      <c r="S57" s="122"/>
      <c r="T57" s="120"/>
      <c r="U57" s="121"/>
    </row>
    <row r="58" spans="1:21" x14ac:dyDescent="0.3">
      <c r="A58" s="8">
        <v>53</v>
      </c>
      <c r="B58" s="8" t="s">
        <v>467</v>
      </c>
      <c r="C58" s="9" t="s">
        <v>8</v>
      </c>
      <c r="D58" s="10" t="s">
        <v>119</v>
      </c>
      <c r="E58" s="11" t="s">
        <v>120</v>
      </c>
      <c r="F58" s="12" t="s">
        <v>4</v>
      </c>
      <c r="G58" s="12" t="s">
        <v>51</v>
      </c>
      <c r="H58" s="12" t="s">
        <v>506</v>
      </c>
      <c r="I58" s="9" t="s">
        <v>13</v>
      </c>
      <c r="J58" s="12">
        <v>4</v>
      </c>
      <c r="K58" s="8" t="s">
        <v>261</v>
      </c>
      <c r="L58" s="9" t="s">
        <v>258</v>
      </c>
      <c r="M58" s="160"/>
      <c r="N58" s="9" t="s">
        <v>258</v>
      </c>
      <c r="O58" s="9"/>
      <c r="P58" s="10"/>
      <c r="Q58" s="124">
        <v>2</v>
      </c>
      <c r="R58" s="124">
        <v>2</v>
      </c>
      <c r="S58" s="122" t="s">
        <v>477</v>
      </c>
      <c r="T58" s="120"/>
      <c r="U58" s="121"/>
    </row>
    <row r="59" spans="1:21" x14ac:dyDescent="0.3">
      <c r="A59" s="8">
        <v>54</v>
      </c>
      <c r="B59" s="8" t="s">
        <v>467</v>
      </c>
      <c r="C59" s="9" t="s">
        <v>8</v>
      </c>
      <c r="D59" s="10" t="s">
        <v>121</v>
      </c>
      <c r="E59" s="11" t="s">
        <v>122</v>
      </c>
      <c r="F59" s="12" t="s">
        <v>4</v>
      </c>
      <c r="G59" s="12" t="s">
        <v>51</v>
      </c>
      <c r="H59" s="12" t="s">
        <v>506</v>
      </c>
      <c r="I59" s="9" t="s">
        <v>13</v>
      </c>
      <c r="J59" s="12">
        <v>3</v>
      </c>
      <c r="K59" s="8" t="s">
        <v>261</v>
      </c>
      <c r="L59" s="9" t="s">
        <v>258</v>
      </c>
      <c r="M59" s="160"/>
      <c r="N59" s="9" t="s">
        <v>258</v>
      </c>
      <c r="O59" s="9"/>
      <c r="P59" s="10"/>
      <c r="Q59" s="118">
        <f t="shared" ref="Q59:Q71" si="2">IF(I59="SI",J59,"")</f>
        <v>3</v>
      </c>
      <c r="R59" s="118" t="str">
        <f t="shared" ref="R59:R71" si="3">IF(I59="SI","",J59)</f>
        <v/>
      </c>
      <c r="S59" s="122"/>
      <c r="T59" s="120"/>
      <c r="U59" s="121"/>
    </row>
    <row r="60" spans="1:21" x14ac:dyDescent="0.3">
      <c r="A60" s="8">
        <v>90</v>
      </c>
      <c r="B60" s="8" t="s">
        <v>467</v>
      </c>
      <c r="C60" s="9" t="s">
        <v>8</v>
      </c>
      <c r="D60" s="10" t="s">
        <v>185</v>
      </c>
      <c r="E60" s="11" t="s">
        <v>186</v>
      </c>
      <c r="F60" s="12" t="s">
        <v>4</v>
      </c>
      <c r="G60" s="12" t="s">
        <v>16</v>
      </c>
      <c r="H60" s="12" t="s">
        <v>502</v>
      </c>
      <c r="I60" s="173" t="s">
        <v>511</v>
      </c>
      <c r="J60" s="12">
        <v>3</v>
      </c>
      <c r="K60" s="151" t="s">
        <v>496</v>
      </c>
      <c r="L60" s="9" t="s">
        <v>258</v>
      </c>
      <c r="M60" s="160"/>
      <c r="N60" s="9" t="s">
        <v>258</v>
      </c>
      <c r="O60" s="9"/>
      <c r="Q60" s="118" t="str">
        <f t="shared" si="2"/>
        <v/>
      </c>
      <c r="R60" s="118">
        <f t="shared" si="3"/>
        <v>3</v>
      </c>
      <c r="S60" s="122"/>
      <c r="T60" s="120"/>
      <c r="U60" s="126"/>
    </row>
    <row r="61" spans="1:21" x14ac:dyDescent="0.3">
      <c r="A61" s="8">
        <v>91</v>
      </c>
      <c r="B61" s="8" t="s">
        <v>467</v>
      </c>
      <c r="C61" s="9" t="s">
        <v>8</v>
      </c>
      <c r="D61" s="10" t="s">
        <v>189</v>
      </c>
      <c r="E61" s="11" t="s">
        <v>190</v>
      </c>
      <c r="F61" s="12" t="s">
        <v>4</v>
      </c>
      <c r="G61" s="12" t="s">
        <v>16</v>
      </c>
      <c r="H61" s="12" t="s">
        <v>502</v>
      </c>
      <c r="I61" s="173" t="s">
        <v>511</v>
      </c>
      <c r="J61" s="12">
        <v>4</v>
      </c>
      <c r="K61" s="151" t="s">
        <v>496</v>
      </c>
      <c r="L61" s="9" t="s">
        <v>258</v>
      </c>
      <c r="M61" s="160"/>
      <c r="N61" s="9" t="s">
        <v>258</v>
      </c>
      <c r="O61" s="9"/>
      <c r="Q61" s="118" t="str">
        <f t="shared" si="2"/>
        <v/>
      </c>
      <c r="R61" s="118">
        <f t="shared" si="3"/>
        <v>4</v>
      </c>
      <c r="S61" s="122"/>
      <c r="T61" s="120"/>
      <c r="U61" s="126"/>
    </row>
    <row r="62" spans="1:21" x14ac:dyDescent="0.3">
      <c r="A62" s="8">
        <v>92</v>
      </c>
      <c r="B62" s="8" t="s">
        <v>467</v>
      </c>
      <c r="C62" s="9" t="s">
        <v>8</v>
      </c>
      <c r="D62" s="10" t="s">
        <v>191</v>
      </c>
      <c r="E62" s="11" t="s">
        <v>192</v>
      </c>
      <c r="F62" s="12" t="s">
        <v>4</v>
      </c>
      <c r="G62" s="12" t="s">
        <v>16</v>
      </c>
      <c r="H62" s="12"/>
      <c r="I62" s="9" t="s">
        <v>13</v>
      </c>
      <c r="J62" s="12">
        <v>4</v>
      </c>
      <c r="K62" s="70" t="s">
        <v>262</v>
      </c>
      <c r="L62" s="70" t="s">
        <v>257</v>
      </c>
      <c r="M62" s="67" t="s">
        <v>256</v>
      </c>
      <c r="N62" s="174" t="s">
        <v>512</v>
      </c>
      <c r="O62" s="23"/>
      <c r="P62" s="156"/>
      <c r="Q62" s="118">
        <f t="shared" si="2"/>
        <v>4</v>
      </c>
      <c r="R62" s="118" t="str">
        <f t="shared" si="3"/>
        <v/>
      </c>
      <c r="S62" s="122"/>
      <c r="T62" s="120"/>
      <c r="U62" s="126"/>
    </row>
    <row r="63" spans="1:21" x14ac:dyDescent="0.3">
      <c r="A63" s="8">
        <v>93</v>
      </c>
      <c r="B63" s="8" t="s">
        <v>467</v>
      </c>
      <c r="C63" s="9" t="s">
        <v>8</v>
      </c>
      <c r="D63" s="10" t="s">
        <v>193</v>
      </c>
      <c r="E63" s="11" t="s">
        <v>194</v>
      </c>
      <c r="F63" s="12" t="s">
        <v>4</v>
      </c>
      <c r="G63" s="12" t="s">
        <v>16</v>
      </c>
      <c r="H63" s="12"/>
      <c r="I63" s="9" t="s">
        <v>13</v>
      </c>
      <c r="J63" s="12">
        <v>3</v>
      </c>
      <c r="K63" s="70" t="s">
        <v>262</v>
      </c>
      <c r="L63" s="70" t="s">
        <v>257</v>
      </c>
      <c r="M63" s="67" t="s">
        <v>256</v>
      </c>
      <c r="N63" s="174" t="s">
        <v>512</v>
      </c>
      <c r="O63" s="23"/>
      <c r="P63" s="156"/>
      <c r="Q63" s="118">
        <f t="shared" si="2"/>
        <v>3</v>
      </c>
      <c r="R63" s="118" t="str">
        <f t="shared" si="3"/>
        <v/>
      </c>
      <c r="S63" s="122"/>
      <c r="T63" s="120"/>
      <c r="U63" s="127"/>
    </row>
    <row r="64" spans="1:21" x14ac:dyDescent="0.3">
      <c r="A64" s="8">
        <v>94</v>
      </c>
      <c r="B64" s="8" t="s">
        <v>467</v>
      </c>
      <c r="C64" s="9" t="s">
        <v>8</v>
      </c>
      <c r="D64" s="10" t="s">
        <v>195</v>
      </c>
      <c r="E64" s="11" t="s">
        <v>196</v>
      </c>
      <c r="F64" s="12" t="s">
        <v>4</v>
      </c>
      <c r="G64" s="12" t="s">
        <v>16</v>
      </c>
      <c r="H64" s="12"/>
      <c r="I64" s="9" t="s">
        <v>13</v>
      </c>
      <c r="J64" s="12">
        <v>4</v>
      </c>
      <c r="K64" s="70" t="s">
        <v>262</v>
      </c>
      <c r="L64" s="9" t="s">
        <v>258</v>
      </c>
      <c r="M64" s="164" t="s">
        <v>500</v>
      </c>
      <c r="N64" s="9" t="s">
        <v>258</v>
      </c>
      <c r="O64" s="9"/>
      <c r="Q64" s="118">
        <f t="shared" si="2"/>
        <v>4</v>
      </c>
      <c r="R64" s="118" t="str">
        <f t="shared" si="3"/>
        <v/>
      </c>
      <c r="S64" s="122"/>
      <c r="T64" s="120"/>
      <c r="U64" s="127"/>
    </row>
    <row r="65" spans="1:21" x14ac:dyDescent="0.3">
      <c r="A65" s="8">
        <v>95</v>
      </c>
      <c r="B65" s="8" t="s">
        <v>467</v>
      </c>
      <c r="C65" s="9" t="s">
        <v>8</v>
      </c>
      <c r="D65" s="10" t="s">
        <v>197</v>
      </c>
      <c r="E65" s="11" t="s">
        <v>198</v>
      </c>
      <c r="F65" s="12" t="s">
        <v>4</v>
      </c>
      <c r="G65" s="12" t="s">
        <v>16</v>
      </c>
      <c r="H65" s="12"/>
      <c r="I65" s="9" t="s">
        <v>13</v>
      </c>
      <c r="J65" s="12">
        <v>3</v>
      </c>
      <c r="K65" s="70" t="s">
        <v>262</v>
      </c>
      <c r="L65" s="9" t="s">
        <v>258</v>
      </c>
      <c r="M65" s="164" t="s">
        <v>500</v>
      </c>
      <c r="N65" s="9" t="s">
        <v>258</v>
      </c>
      <c r="O65" s="9"/>
      <c r="Q65" s="118">
        <f t="shared" si="2"/>
        <v>3</v>
      </c>
      <c r="R65" s="118" t="str">
        <f t="shared" si="3"/>
        <v/>
      </c>
      <c r="S65" s="122"/>
      <c r="T65" s="120"/>
      <c r="U65" s="127"/>
    </row>
    <row r="66" spans="1:21" x14ac:dyDescent="0.3">
      <c r="A66" s="8">
        <v>55</v>
      </c>
      <c r="B66" s="8" t="s">
        <v>467</v>
      </c>
      <c r="C66" s="9" t="s">
        <v>8</v>
      </c>
      <c r="D66" s="10" t="s">
        <v>123</v>
      </c>
      <c r="E66" s="11" t="s">
        <v>124</v>
      </c>
      <c r="F66" s="12" t="s">
        <v>4</v>
      </c>
      <c r="G66" s="12" t="s">
        <v>16</v>
      </c>
      <c r="H66" s="12"/>
      <c r="I66" s="9" t="s">
        <v>13</v>
      </c>
      <c r="J66" s="12">
        <v>4</v>
      </c>
      <c r="K66" s="8" t="s">
        <v>261</v>
      </c>
      <c r="L66" s="9" t="s">
        <v>258</v>
      </c>
      <c r="M66" s="160"/>
      <c r="N66" s="9" t="s">
        <v>258</v>
      </c>
      <c r="O66" s="9"/>
      <c r="P66" s="10"/>
      <c r="Q66" s="118">
        <f t="shared" si="2"/>
        <v>4</v>
      </c>
      <c r="R66" s="118" t="str">
        <f t="shared" si="3"/>
        <v/>
      </c>
      <c r="S66" s="122"/>
      <c r="T66" s="120"/>
      <c r="U66" s="121"/>
    </row>
    <row r="67" spans="1:21" x14ac:dyDescent="0.3">
      <c r="A67" s="8">
        <v>57</v>
      </c>
      <c r="B67" s="8" t="s">
        <v>467</v>
      </c>
      <c r="C67" s="9" t="s">
        <v>8</v>
      </c>
      <c r="D67" s="10" t="s">
        <v>127</v>
      </c>
      <c r="E67" s="11" t="s">
        <v>128</v>
      </c>
      <c r="F67" s="12" t="s">
        <v>4</v>
      </c>
      <c r="G67" s="12" t="s">
        <v>16</v>
      </c>
      <c r="H67" s="12"/>
      <c r="I67" s="9" t="s">
        <v>13</v>
      </c>
      <c r="J67" s="12">
        <v>4</v>
      </c>
      <c r="K67" s="8" t="s">
        <v>261</v>
      </c>
      <c r="L67" s="9" t="s">
        <v>258</v>
      </c>
      <c r="M67" s="160"/>
      <c r="N67" s="9" t="s">
        <v>258</v>
      </c>
      <c r="O67" s="9"/>
      <c r="P67" s="10"/>
      <c r="Q67" s="118">
        <f t="shared" si="2"/>
        <v>4</v>
      </c>
      <c r="R67" s="118" t="str">
        <f t="shared" si="3"/>
        <v/>
      </c>
      <c r="S67" s="122"/>
      <c r="T67" s="120"/>
      <c r="U67" s="121"/>
    </row>
    <row r="68" spans="1:21" x14ac:dyDescent="0.3">
      <c r="A68" s="8">
        <v>58</v>
      </c>
      <c r="B68" s="8" t="s">
        <v>467</v>
      </c>
      <c r="C68" s="9" t="s">
        <v>8</v>
      </c>
      <c r="D68" s="10" t="s">
        <v>129</v>
      </c>
      <c r="E68" s="11" t="s">
        <v>130</v>
      </c>
      <c r="F68" s="12" t="s">
        <v>4</v>
      </c>
      <c r="G68" s="12" t="s">
        <v>16</v>
      </c>
      <c r="H68" s="12"/>
      <c r="I68" s="9" t="s">
        <v>13</v>
      </c>
      <c r="J68" s="12">
        <v>4</v>
      </c>
      <c r="K68" s="8" t="s">
        <v>261</v>
      </c>
      <c r="L68" s="9" t="s">
        <v>258</v>
      </c>
      <c r="M68" s="160"/>
      <c r="N68" s="9" t="s">
        <v>258</v>
      </c>
      <c r="O68" s="9"/>
      <c r="P68" s="10"/>
      <c r="Q68" s="118">
        <f t="shared" si="2"/>
        <v>4</v>
      </c>
      <c r="R68" s="118" t="str">
        <f t="shared" si="3"/>
        <v/>
      </c>
      <c r="S68" s="122"/>
      <c r="T68" s="120"/>
      <c r="U68" s="121"/>
    </row>
    <row r="69" spans="1:21" x14ac:dyDescent="0.3">
      <c r="A69" s="8">
        <v>59</v>
      </c>
      <c r="B69" s="8" t="s">
        <v>467</v>
      </c>
      <c r="C69" s="9" t="s">
        <v>8</v>
      </c>
      <c r="D69" s="10" t="s">
        <v>131</v>
      </c>
      <c r="E69" s="11" t="s">
        <v>132</v>
      </c>
      <c r="F69" s="12" t="s">
        <v>4</v>
      </c>
      <c r="G69" s="12" t="s">
        <v>16</v>
      </c>
      <c r="H69" s="12"/>
      <c r="I69" s="9" t="s">
        <v>13</v>
      </c>
      <c r="J69" s="12">
        <v>3</v>
      </c>
      <c r="K69" s="8" t="s">
        <v>261</v>
      </c>
      <c r="L69" s="9" t="s">
        <v>258</v>
      </c>
      <c r="M69" s="160"/>
      <c r="N69" s="9" t="s">
        <v>258</v>
      </c>
      <c r="O69" s="9"/>
      <c r="P69" s="10"/>
      <c r="Q69" s="118">
        <f t="shared" si="2"/>
        <v>3</v>
      </c>
      <c r="R69" s="118" t="str">
        <f t="shared" si="3"/>
        <v/>
      </c>
      <c r="S69" s="122"/>
      <c r="T69" s="120"/>
      <c r="U69" s="121"/>
    </row>
    <row r="70" spans="1:21" x14ac:dyDescent="0.3">
      <c r="A70" s="8">
        <v>60</v>
      </c>
      <c r="B70" s="8" t="s">
        <v>467</v>
      </c>
      <c r="C70" s="9" t="s">
        <v>8</v>
      </c>
      <c r="D70" s="10" t="s">
        <v>133</v>
      </c>
      <c r="E70" s="11" t="s">
        <v>134</v>
      </c>
      <c r="F70" s="12" t="s">
        <v>4</v>
      </c>
      <c r="G70" s="12" t="s">
        <v>16</v>
      </c>
      <c r="H70" s="12"/>
      <c r="I70" s="9" t="s">
        <v>13</v>
      </c>
      <c r="J70" s="12">
        <v>7</v>
      </c>
      <c r="K70" s="8" t="s">
        <v>261</v>
      </c>
      <c r="L70" s="9" t="s">
        <v>258</v>
      </c>
      <c r="M70" s="160"/>
      <c r="N70" s="9" t="s">
        <v>258</v>
      </c>
      <c r="O70" s="9"/>
      <c r="P70" s="10"/>
      <c r="Q70" s="118">
        <f t="shared" si="2"/>
        <v>7</v>
      </c>
      <c r="R70" s="118" t="str">
        <f t="shared" si="3"/>
        <v/>
      </c>
      <c r="S70" s="122"/>
      <c r="T70" s="120"/>
      <c r="U70" s="121"/>
    </row>
    <row r="71" spans="1:21" x14ac:dyDescent="0.3">
      <c r="A71" s="8">
        <v>96</v>
      </c>
      <c r="B71" s="8" t="s">
        <v>467</v>
      </c>
      <c r="C71" s="9" t="s">
        <v>8</v>
      </c>
      <c r="D71" s="10" t="s">
        <v>199</v>
      </c>
      <c r="E71" s="11" t="s">
        <v>200</v>
      </c>
      <c r="F71" s="12" t="s">
        <v>4</v>
      </c>
      <c r="G71" s="12" t="s">
        <v>16</v>
      </c>
      <c r="H71" s="12"/>
      <c r="I71" s="9" t="s">
        <v>13</v>
      </c>
      <c r="J71" s="12">
        <v>2</v>
      </c>
      <c r="K71" s="70" t="s">
        <v>262</v>
      </c>
      <c r="L71" s="9" t="s">
        <v>258</v>
      </c>
      <c r="M71" s="164" t="s">
        <v>500</v>
      </c>
      <c r="N71" s="9" t="s">
        <v>258</v>
      </c>
      <c r="O71" s="9"/>
      <c r="Q71" s="118">
        <f t="shared" si="2"/>
        <v>2</v>
      </c>
      <c r="R71" s="118" t="str">
        <f t="shared" si="3"/>
        <v/>
      </c>
      <c r="S71" s="122"/>
      <c r="T71" s="120"/>
      <c r="U71" s="126"/>
    </row>
    <row r="72" spans="1:21" x14ac:dyDescent="0.3">
      <c r="A72" s="8">
        <v>61</v>
      </c>
      <c r="B72" s="8" t="s">
        <v>467</v>
      </c>
      <c r="C72" s="9" t="s">
        <v>8</v>
      </c>
      <c r="D72" s="10" t="s">
        <v>135</v>
      </c>
      <c r="E72" s="11" t="s">
        <v>136</v>
      </c>
      <c r="F72" s="12" t="s">
        <v>4</v>
      </c>
      <c r="G72" s="12" t="s">
        <v>16</v>
      </c>
      <c r="H72" s="12"/>
      <c r="I72" s="9" t="s">
        <v>13</v>
      </c>
      <c r="J72" s="12">
        <v>4</v>
      </c>
      <c r="K72" s="8" t="s">
        <v>261</v>
      </c>
      <c r="L72" s="9" t="s">
        <v>258</v>
      </c>
      <c r="M72" s="160"/>
      <c r="N72" s="9" t="s">
        <v>258</v>
      </c>
      <c r="O72" s="9"/>
      <c r="P72" s="10"/>
      <c r="Q72" s="118" t="s">
        <v>472</v>
      </c>
      <c r="R72" s="118">
        <f>J72</f>
        <v>4</v>
      </c>
      <c r="S72" s="119" t="s">
        <v>474</v>
      </c>
      <c r="T72" s="120"/>
      <c r="U72" s="121"/>
    </row>
    <row r="73" spans="1:21" x14ac:dyDescent="0.3">
      <c r="A73" s="8">
        <v>62</v>
      </c>
      <c r="B73" s="8" t="s">
        <v>467</v>
      </c>
      <c r="C73" s="9" t="s">
        <v>8</v>
      </c>
      <c r="D73" s="10" t="s">
        <v>137</v>
      </c>
      <c r="E73" s="11" t="s">
        <v>138</v>
      </c>
      <c r="F73" s="12" t="s">
        <v>4</v>
      </c>
      <c r="G73" s="12" t="s">
        <v>16</v>
      </c>
      <c r="H73" s="12"/>
      <c r="I73" s="9" t="s">
        <v>13</v>
      </c>
      <c r="J73" s="12">
        <v>3</v>
      </c>
      <c r="K73" s="8" t="s">
        <v>261</v>
      </c>
      <c r="L73" s="9" t="s">
        <v>258</v>
      </c>
      <c r="M73" s="160"/>
      <c r="N73" s="9" t="s">
        <v>258</v>
      </c>
      <c r="O73" s="9"/>
      <c r="P73" s="10"/>
      <c r="Q73" s="118" t="s">
        <v>472</v>
      </c>
      <c r="R73" s="118">
        <f>J73</f>
        <v>3</v>
      </c>
      <c r="S73" s="122" t="s">
        <v>476</v>
      </c>
      <c r="T73" s="120"/>
      <c r="U73" s="121"/>
    </row>
    <row r="74" spans="1:21" x14ac:dyDescent="0.3">
      <c r="A74" s="8">
        <v>63</v>
      </c>
      <c r="B74" s="8" t="s">
        <v>467</v>
      </c>
      <c r="C74" s="9" t="s">
        <v>8</v>
      </c>
      <c r="D74" s="10" t="s">
        <v>139</v>
      </c>
      <c r="E74" s="11" t="s">
        <v>140</v>
      </c>
      <c r="F74" s="12" t="s">
        <v>4</v>
      </c>
      <c r="G74" s="12" t="s">
        <v>16</v>
      </c>
      <c r="H74" s="12"/>
      <c r="I74" s="9" t="s">
        <v>13</v>
      </c>
      <c r="J74" s="12">
        <v>4</v>
      </c>
      <c r="K74" s="8" t="s">
        <v>261</v>
      </c>
      <c r="L74" s="9" t="s">
        <v>258</v>
      </c>
      <c r="M74" s="160"/>
      <c r="N74" s="9" t="s">
        <v>258</v>
      </c>
      <c r="O74" s="9"/>
      <c r="P74" s="10"/>
      <c r="Q74" s="118">
        <f t="shared" ref="Q74:Q84" si="4">IF(I74="SI",J74,"")</f>
        <v>4</v>
      </c>
      <c r="R74" s="118" t="str">
        <f t="shared" ref="R74:R84" si="5">IF(I74="SI","",J74)</f>
        <v/>
      </c>
      <c r="S74" s="122"/>
      <c r="T74" s="120"/>
      <c r="U74" s="121"/>
    </row>
    <row r="75" spans="1:21" x14ac:dyDescent="0.3">
      <c r="A75" s="8">
        <v>64</v>
      </c>
      <c r="B75" s="8" t="s">
        <v>467</v>
      </c>
      <c r="C75" s="9" t="s">
        <v>8</v>
      </c>
      <c r="D75" s="10" t="s">
        <v>141</v>
      </c>
      <c r="E75" s="11" t="s">
        <v>142</v>
      </c>
      <c r="F75" s="12" t="s">
        <v>4</v>
      </c>
      <c r="G75" s="12" t="s">
        <v>16</v>
      </c>
      <c r="H75" s="12"/>
      <c r="I75" s="9" t="s">
        <v>13</v>
      </c>
      <c r="J75" s="12">
        <v>4</v>
      </c>
      <c r="K75" s="8" t="s">
        <v>261</v>
      </c>
      <c r="L75" s="9" t="s">
        <v>258</v>
      </c>
      <c r="M75" s="160"/>
      <c r="N75" s="9" t="s">
        <v>258</v>
      </c>
      <c r="O75" s="9"/>
      <c r="P75" s="10"/>
      <c r="Q75" s="118">
        <f t="shared" si="4"/>
        <v>4</v>
      </c>
      <c r="R75" s="118" t="str">
        <f t="shared" si="5"/>
        <v/>
      </c>
      <c r="S75" s="122"/>
      <c r="T75" s="120"/>
      <c r="U75" s="121"/>
    </row>
    <row r="76" spans="1:21" x14ac:dyDescent="0.3">
      <c r="A76" s="8">
        <v>65</v>
      </c>
      <c r="B76" s="8" t="s">
        <v>467</v>
      </c>
      <c r="C76" s="9" t="s">
        <v>8</v>
      </c>
      <c r="D76" s="10" t="s">
        <v>143</v>
      </c>
      <c r="E76" s="11" t="s">
        <v>144</v>
      </c>
      <c r="F76" s="12" t="s">
        <v>4</v>
      </c>
      <c r="G76" s="12" t="s">
        <v>16</v>
      </c>
      <c r="H76" s="12"/>
      <c r="I76" s="9" t="s">
        <v>13</v>
      </c>
      <c r="J76" s="12">
        <v>3</v>
      </c>
      <c r="K76" s="8" t="s">
        <v>261</v>
      </c>
      <c r="L76" s="9" t="s">
        <v>258</v>
      </c>
      <c r="M76" s="160"/>
      <c r="N76" s="9" t="s">
        <v>258</v>
      </c>
      <c r="O76" s="9"/>
      <c r="P76" s="10"/>
      <c r="Q76" s="118">
        <f t="shared" si="4"/>
        <v>3</v>
      </c>
      <c r="R76" s="118" t="str">
        <f t="shared" si="5"/>
        <v/>
      </c>
      <c r="S76" s="122"/>
      <c r="T76" s="120"/>
      <c r="U76" s="121"/>
    </row>
    <row r="77" spans="1:21" x14ac:dyDescent="0.3">
      <c r="A77" s="8">
        <v>97</v>
      </c>
      <c r="B77" s="8" t="s">
        <v>467</v>
      </c>
      <c r="C77" s="9" t="s">
        <v>8</v>
      </c>
      <c r="D77" s="10" t="s">
        <v>201</v>
      </c>
      <c r="E77" s="11" t="s">
        <v>202</v>
      </c>
      <c r="F77" s="12" t="s">
        <v>4</v>
      </c>
      <c r="G77" s="12" t="s">
        <v>16</v>
      </c>
      <c r="H77" s="12" t="s">
        <v>502</v>
      </c>
      <c r="I77" s="173" t="s">
        <v>511</v>
      </c>
      <c r="J77" s="12">
        <v>3</v>
      </c>
      <c r="K77" s="151" t="s">
        <v>496</v>
      </c>
      <c r="L77" s="9" t="s">
        <v>258</v>
      </c>
      <c r="M77" s="160"/>
      <c r="N77" s="9" t="s">
        <v>258</v>
      </c>
      <c r="O77" s="9"/>
      <c r="Q77" s="118" t="str">
        <f t="shared" si="4"/>
        <v/>
      </c>
      <c r="R77" s="118">
        <f t="shared" si="5"/>
        <v>3</v>
      </c>
      <c r="S77" s="122"/>
      <c r="T77" s="120"/>
      <c r="U77" s="127"/>
    </row>
    <row r="78" spans="1:21" x14ac:dyDescent="0.3">
      <c r="A78" s="8">
        <v>98</v>
      </c>
      <c r="B78" s="8" t="s">
        <v>467</v>
      </c>
      <c r="C78" s="9" t="s">
        <v>8</v>
      </c>
      <c r="D78" s="10" t="s">
        <v>203</v>
      </c>
      <c r="E78" s="11" t="s">
        <v>204</v>
      </c>
      <c r="F78" s="12" t="s">
        <v>4</v>
      </c>
      <c r="G78" s="12" t="s">
        <v>51</v>
      </c>
      <c r="H78" s="172" t="s">
        <v>505</v>
      </c>
      <c r="I78" s="9" t="s">
        <v>178</v>
      </c>
      <c r="J78" s="12">
        <v>2</v>
      </c>
      <c r="K78" s="151" t="s">
        <v>496</v>
      </c>
      <c r="L78" s="9" t="s">
        <v>258</v>
      </c>
      <c r="M78" s="160"/>
      <c r="N78" s="9" t="s">
        <v>258</v>
      </c>
      <c r="O78" s="9"/>
      <c r="Q78" s="118" t="str">
        <f t="shared" si="4"/>
        <v/>
      </c>
      <c r="R78" s="118">
        <f t="shared" si="5"/>
        <v>2</v>
      </c>
      <c r="S78" s="122"/>
      <c r="T78" s="120"/>
      <c r="U78" s="126"/>
    </row>
    <row r="79" spans="1:21" x14ac:dyDescent="0.3">
      <c r="A79" s="8">
        <v>66</v>
      </c>
      <c r="B79" s="8" t="s">
        <v>467</v>
      </c>
      <c r="C79" s="9" t="s">
        <v>8</v>
      </c>
      <c r="D79" s="10" t="s">
        <v>145</v>
      </c>
      <c r="E79" s="11" t="s">
        <v>146</v>
      </c>
      <c r="F79" s="12" t="s">
        <v>11</v>
      </c>
      <c r="G79" s="13" t="s">
        <v>51</v>
      </c>
      <c r="H79" s="12" t="s">
        <v>506</v>
      </c>
      <c r="I79" s="9" t="s">
        <v>13</v>
      </c>
      <c r="J79" s="15">
        <v>4</v>
      </c>
      <c r="K79" s="8" t="s">
        <v>261</v>
      </c>
      <c r="L79" s="9" t="s">
        <v>258</v>
      </c>
      <c r="M79" s="160"/>
      <c r="N79" s="9" t="s">
        <v>258</v>
      </c>
      <c r="O79" s="9"/>
      <c r="P79" s="10"/>
      <c r="Q79" s="118">
        <f t="shared" si="4"/>
        <v>4</v>
      </c>
      <c r="R79" s="118" t="str">
        <f t="shared" si="5"/>
        <v/>
      </c>
      <c r="S79" s="122"/>
      <c r="T79" s="120"/>
      <c r="U79" s="121"/>
    </row>
    <row r="80" spans="1:21" x14ac:dyDescent="0.3">
      <c r="A80" s="8">
        <v>99</v>
      </c>
      <c r="B80" s="8" t="s">
        <v>467</v>
      </c>
      <c r="C80" s="9" t="s">
        <v>8</v>
      </c>
      <c r="D80" s="10" t="s">
        <v>205</v>
      </c>
      <c r="E80" s="30" t="s">
        <v>206</v>
      </c>
      <c r="F80" s="12" t="s">
        <v>4</v>
      </c>
      <c r="G80" s="12" t="s">
        <v>16</v>
      </c>
      <c r="H80" s="12" t="s">
        <v>502</v>
      </c>
      <c r="I80" s="9" t="s">
        <v>178</v>
      </c>
      <c r="J80" s="12">
        <v>2</v>
      </c>
      <c r="K80" s="151" t="s">
        <v>496</v>
      </c>
      <c r="L80" s="9" t="s">
        <v>258</v>
      </c>
      <c r="M80" s="160"/>
      <c r="N80" s="9" t="s">
        <v>258</v>
      </c>
      <c r="O80" s="9"/>
      <c r="Q80" s="118" t="str">
        <f t="shared" si="4"/>
        <v/>
      </c>
      <c r="R80" s="118">
        <f t="shared" si="5"/>
        <v>2</v>
      </c>
      <c r="S80" s="122"/>
      <c r="T80" s="120"/>
      <c r="U80" s="126"/>
    </row>
    <row r="81" spans="1:21" x14ac:dyDescent="0.3">
      <c r="A81" s="8">
        <v>67</v>
      </c>
      <c r="B81" s="8" t="s">
        <v>467</v>
      </c>
      <c r="C81" s="9" t="s">
        <v>8</v>
      </c>
      <c r="D81" s="10" t="s">
        <v>147</v>
      </c>
      <c r="E81" s="30" t="s">
        <v>148</v>
      </c>
      <c r="F81" s="12" t="s">
        <v>4</v>
      </c>
      <c r="G81" s="12" t="s">
        <v>51</v>
      </c>
      <c r="H81" s="12" t="s">
        <v>506</v>
      </c>
      <c r="I81" s="9" t="s">
        <v>13</v>
      </c>
      <c r="J81" s="12">
        <v>2</v>
      </c>
      <c r="K81" s="67" t="s">
        <v>256</v>
      </c>
      <c r="L81" s="9" t="s">
        <v>258</v>
      </c>
      <c r="M81" s="160"/>
      <c r="N81" s="9" t="s">
        <v>258</v>
      </c>
      <c r="O81" s="9"/>
      <c r="P81" s="10"/>
      <c r="Q81" s="118">
        <f t="shared" si="4"/>
        <v>2</v>
      </c>
      <c r="R81" s="118" t="str">
        <f t="shared" si="5"/>
        <v/>
      </c>
      <c r="S81" s="122"/>
      <c r="T81" s="120"/>
      <c r="U81" s="121"/>
    </row>
    <row r="82" spans="1:21" x14ac:dyDescent="0.3">
      <c r="A82" s="8">
        <v>68</v>
      </c>
      <c r="B82" s="8" t="s">
        <v>467</v>
      </c>
      <c r="C82" s="9" t="s">
        <v>8</v>
      </c>
      <c r="D82" s="10" t="s">
        <v>149</v>
      </c>
      <c r="E82" s="30" t="s">
        <v>150</v>
      </c>
      <c r="F82" s="12" t="s">
        <v>4</v>
      </c>
      <c r="G82" s="12" t="s">
        <v>16</v>
      </c>
      <c r="H82" s="12" t="s">
        <v>502</v>
      </c>
      <c r="I82" s="9" t="s">
        <v>13</v>
      </c>
      <c r="J82" s="12">
        <v>3</v>
      </c>
      <c r="K82" s="8" t="s">
        <v>261</v>
      </c>
      <c r="L82" s="9" t="s">
        <v>258</v>
      </c>
      <c r="M82" s="160"/>
      <c r="N82" s="9" t="s">
        <v>258</v>
      </c>
      <c r="O82" s="9"/>
      <c r="Q82" s="118">
        <f t="shared" si="4"/>
        <v>3</v>
      </c>
      <c r="R82" s="118" t="str">
        <f t="shared" si="5"/>
        <v/>
      </c>
      <c r="S82" s="122"/>
      <c r="T82" s="120"/>
      <c r="U82" s="121"/>
    </row>
    <row r="83" spans="1:21" x14ac:dyDescent="0.3">
      <c r="A83" s="8">
        <v>69</v>
      </c>
      <c r="B83" s="8" t="s">
        <v>467</v>
      </c>
      <c r="C83" s="9" t="s">
        <v>8</v>
      </c>
      <c r="D83" s="10" t="s">
        <v>151</v>
      </c>
      <c r="E83" s="30" t="s">
        <v>152</v>
      </c>
      <c r="F83" s="12" t="s">
        <v>4</v>
      </c>
      <c r="G83" s="12" t="s">
        <v>16</v>
      </c>
      <c r="H83" s="12"/>
      <c r="I83" s="9" t="s">
        <v>13</v>
      </c>
      <c r="J83" s="12">
        <v>4</v>
      </c>
      <c r="K83" s="8" t="s">
        <v>507</v>
      </c>
      <c r="L83" s="9" t="s">
        <v>258</v>
      </c>
      <c r="M83" s="160"/>
      <c r="N83" s="9" t="s">
        <v>258</v>
      </c>
      <c r="O83" s="9"/>
      <c r="Q83" s="118">
        <f t="shared" si="4"/>
        <v>4</v>
      </c>
      <c r="R83" s="118" t="str">
        <f t="shared" si="5"/>
        <v/>
      </c>
      <c r="S83" s="122"/>
      <c r="T83" s="120"/>
      <c r="U83" s="121"/>
    </row>
    <row r="84" spans="1:21" x14ac:dyDescent="0.3">
      <c r="A84" s="8">
        <v>100</v>
      </c>
      <c r="B84" s="8" t="s">
        <v>467</v>
      </c>
      <c r="C84" s="9" t="s">
        <v>8</v>
      </c>
      <c r="D84" s="10" t="s">
        <v>207</v>
      </c>
      <c r="E84" s="30" t="s">
        <v>208</v>
      </c>
      <c r="F84" s="12" t="s">
        <v>4</v>
      </c>
      <c r="G84" s="12" t="s">
        <v>16</v>
      </c>
      <c r="H84" s="12" t="s">
        <v>502</v>
      </c>
      <c r="I84" s="9" t="s">
        <v>178</v>
      </c>
      <c r="J84" s="12">
        <v>3</v>
      </c>
      <c r="K84" s="151" t="s">
        <v>496</v>
      </c>
      <c r="L84" s="9" t="s">
        <v>258</v>
      </c>
      <c r="M84" s="160"/>
      <c r="N84" s="9" t="s">
        <v>258</v>
      </c>
      <c r="O84" s="9"/>
      <c r="Q84" s="118" t="str">
        <f t="shared" si="4"/>
        <v/>
      </c>
      <c r="R84" s="118">
        <f t="shared" si="5"/>
        <v>3</v>
      </c>
      <c r="S84" s="122"/>
      <c r="T84" s="120"/>
      <c r="U84" s="126"/>
    </row>
    <row r="85" spans="1:21" x14ac:dyDescent="0.3">
      <c r="A85" s="8">
        <v>70</v>
      </c>
      <c r="B85" s="8" t="s">
        <v>467</v>
      </c>
      <c r="C85" s="9" t="s">
        <v>8</v>
      </c>
      <c r="D85" s="10" t="s">
        <v>153</v>
      </c>
      <c r="E85" s="30" t="s">
        <v>154</v>
      </c>
      <c r="F85" s="12" t="s">
        <v>4</v>
      </c>
      <c r="G85" s="12" t="s">
        <v>16</v>
      </c>
      <c r="H85" s="12" t="s">
        <v>502</v>
      </c>
      <c r="I85" s="9" t="s">
        <v>13</v>
      </c>
      <c r="J85" s="12">
        <v>4</v>
      </c>
      <c r="K85" s="8" t="s">
        <v>261</v>
      </c>
      <c r="L85" s="9" t="s">
        <v>258</v>
      </c>
      <c r="M85" s="160"/>
      <c r="N85" s="9" t="s">
        <v>258</v>
      </c>
      <c r="O85" s="9"/>
      <c r="Q85" s="118" t="s">
        <v>472</v>
      </c>
      <c r="R85" s="118">
        <f>J85</f>
        <v>4</v>
      </c>
      <c r="S85" s="119" t="s">
        <v>474</v>
      </c>
      <c r="T85" s="120"/>
      <c r="U85" s="121"/>
    </row>
    <row r="86" spans="1:21" x14ac:dyDescent="0.3">
      <c r="A86" s="8">
        <v>71</v>
      </c>
      <c r="B86" s="8" t="s">
        <v>467</v>
      </c>
      <c r="C86" s="9" t="s">
        <v>8</v>
      </c>
      <c r="D86" s="10" t="s">
        <v>155</v>
      </c>
      <c r="E86" s="30" t="s">
        <v>156</v>
      </c>
      <c r="F86" s="12" t="s">
        <v>4</v>
      </c>
      <c r="G86" s="12" t="s">
        <v>16</v>
      </c>
      <c r="H86" s="12" t="s">
        <v>502</v>
      </c>
      <c r="I86" s="9" t="s">
        <v>13</v>
      </c>
      <c r="J86" s="12">
        <v>5</v>
      </c>
      <c r="K86" s="8" t="s">
        <v>507</v>
      </c>
      <c r="L86" s="9" t="s">
        <v>258</v>
      </c>
      <c r="M86" s="160"/>
      <c r="N86" s="9" t="s">
        <v>258</v>
      </c>
      <c r="O86" s="9"/>
      <c r="Q86" s="118">
        <f t="shared" ref="Q86:Q87" si="6">IF(I86="SI",J86,"")</f>
        <v>5</v>
      </c>
      <c r="R86" s="118" t="str">
        <f t="shared" ref="R86:R87" si="7">IF(I86="SI","",J86)</f>
        <v/>
      </c>
      <c r="S86" s="122"/>
      <c r="T86" s="120"/>
      <c r="U86" s="121"/>
    </row>
    <row r="87" spans="1:21" x14ac:dyDescent="0.3">
      <c r="A87" s="8">
        <v>56</v>
      </c>
      <c r="B87" s="8" t="s">
        <v>467</v>
      </c>
      <c r="C87" s="9" t="s">
        <v>8</v>
      </c>
      <c r="D87" s="10" t="s">
        <v>125</v>
      </c>
      <c r="E87" s="11" t="s">
        <v>126</v>
      </c>
      <c r="F87" s="12" t="s">
        <v>4</v>
      </c>
      <c r="G87" s="12" t="s">
        <v>16</v>
      </c>
      <c r="H87" s="12"/>
      <c r="I87" s="9" t="s">
        <v>13</v>
      </c>
      <c r="J87" s="18">
        <v>3</v>
      </c>
      <c r="K87" s="8" t="s">
        <v>261</v>
      </c>
      <c r="L87" s="9" t="s">
        <v>258</v>
      </c>
      <c r="M87" s="160"/>
      <c r="N87" s="9" t="s">
        <v>258</v>
      </c>
      <c r="O87" s="9"/>
      <c r="P87" s="10"/>
      <c r="Q87" s="118">
        <f t="shared" si="6"/>
        <v>3</v>
      </c>
      <c r="R87" s="118" t="str">
        <f t="shared" si="7"/>
        <v/>
      </c>
      <c r="S87" s="122"/>
      <c r="T87" s="120"/>
      <c r="U87" s="121"/>
    </row>
    <row r="88" spans="1:21" x14ac:dyDescent="0.3">
      <c r="A88" s="8">
        <v>4</v>
      </c>
      <c r="B88" s="8" t="s">
        <v>467</v>
      </c>
      <c r="C88" s="9" t="s">
        <v>8</v>
      </c>
      <c r="D88" s="10" t="s">
        <v>19</v>
      </c>
      <c r="E88" s="11" t="s">
        <v>20</v>
      </c>
      <c r="F88" s="12" t="s">
        <v>4</v>
      </c>
      <c r="G88" s="12" t="s">
        <v>16</v>
      </c>
      <c r="H88" s="12"/>
      <c r="I88" s="9" t="s">
        <v>13</v>
      </c>
      <c r="J88" s="12">
        <v>4</v>
      </c>
      <c r="K88" s="68" t="s">
        <v>260</v>
      </c>
      <c r="L88" s="9" t="s">
        <v>258</v>
      </c>
      <c r="M88" s="160"/>
      <c r="N88" s="9" t="s">
        <v>258</v>
      </c>
      <c r="O88" s="9"/>
      <c r="P88" s="10"/>
      <c r="Q88" s="118" t="s">
        <v>472</v>
      </c>
      <c r="R88" s="118">
        <f>J88</f>
        <v>4</v>
      </c>
      <c r="S88" s="122" t="s">
        <v>475</v>
      </c>
      <c r="T88" s="129" t="s">
        <v>492</v>
      </c>
      <c r="U88" s="130">
        <v>8</v>
      </c>
    </row>
    <row r="89" spans="1:21" x14ac:dyDescent="0.3">
      <c r="A89" s="8">
        <v>74</v>
      </c>
      <c r="B89" s="8" t="s">
        <v>467</v>
      </c>
      <c r="C89" s="9" t="s">
        <v>157</v>
      </c>
      <c r="D89" s="10" t="s">
        <v>162</v>
      </c>
      <c r="E89" s="30">
        <v>15071</v>
      </c>
      <c r="F89" s="12" t="s">
        <v>4</v>
      </c>
      <c r="G89" s="16" t="s">
        <v>16</v>
      </c>
      <c r="H89" s="16"/>
      <c r="I89" s="9" t="s">
        <v>13</v>
      </c>
      <c r="J89" s="12">
        <v>3</v>
      </c>
      <c r="K89" s="8" t="s">
        <v>261</v>
      </c>
      <c r="L89" s="9" t="s">
        <v>258</v>
      </c>
      <c r="M89" s="160"/>
      <c r="N89" s="9" t="s">
        <v>258</v>
      </c>
      <c r="O89" s="9"/>
      <c r="Q89" s="118">
        <f t="shared" ref="Q89:Q124" si="8">IF(I89="SI",J89,"")</f>
        <v>3</v>
      </c>
      <c r="R89" s="118" t="str">
        <f t="shared" ref="R89:R124" si="9">IF(I89="SI","",J89)</f>
        <v/>
      </c>
      <c r="S89" s="122"/>
      <c r="T89" s="120"/>
      <c r="U89" s="121"/>
    </row>
    <row r="90" spans="1:21" x14ac:dyDescent="0.3">
      <c r="A90" s="8">
        <v>75</v>
      </c>
      <c r="B90" s="8" t="s">
        <v>467</v>
      </c>
      <c r="C90" s="9" t="s">
        <v>157</v>
      </c>
      <c r="D90" s="10" t="s">
        <v>163</v>
      </c>
      <c r="E90" s="30">
        <v>15080</v>
      </c>
      <c r="F90" s="12" t="s">
        <v>4</v>
      </c>
      <c r="G90" s="16" t="s">
        <v>16</v>
      </c>
      <c r="H90" s="16"/>
      <c r="I90" s="9" t="s">
        <v>13</v>
      </c>
      <c r="J90" s="12">
        <v>4</v>
      </c>
      <c r="K90" s="8" t="s">
        <v>261</v>
      </c>
      <c r="L90" s="9" t="s">
        <v>258</v>
      </c>
      <c r="M90" s="160"/>
      <c r="N90" s="9" t="s">
        <v>258</v>
      </c>
      <c r="O90" s="9"/>
      <c r="Q90" s="118">
        <f t="shared" si="8"/>
        <v>4</v>
      </c>
      <c r="R90" s="118" t="str">
        <f t="shared" si="9"/>
        <v/>
      </c>
      <c r="S90" s="122"/>
      <c r="T90" s="120"/>
      <c r="U90" s="121"/>
    </row>
    <row r="91" spans="1:21" x14ac:dyDescent="0.3">
      <c r="A91" s="8">
        <v>76</v>
      </c>
      <c r="B91" s="8" t="s">
        <v>467</v>
      </c>
      <c r="C91" s="9" t="s">
        <v>157</v>
      </c>
      <c r="D91" s="10" t="s">
        <v>164</v>
      </c>
      <c r="E91" s="30">
        <v>15076</v>
      </c>
      <c r="F91" s="12" t="s">
        <v>4</v>
      </c>
      <c r="G91" s="16" t="s">
        <v>16</v>
      </c>
      <c r="H91" s="16"/>
      <c r="I91" s="9" t="s">
        <v>13</v>
      </c>
      <c r="J91" s="12">
        <v>2</v>
      </c>
      <c r="K91" s="8" t="s">
        <v>261</v>
      </c>
      <c r="L91" s="9" t="s">
        <v>258</v>
      </c>
      <c r="M91" s="160"/>
      <c r="N91" s="9" t="s">
        <v>258</v>
      </c>
      <c r="O91" s="9"/>
      <c r="Q91" s="118">
        <f t="shared" si="8"/>
        <v>2</v>
      </c>
      <c r="R91" s="118" t="str">
        <f t="shared" si="9"/>
        <v/>
      </c>
      <c r="S91" s="122"/>
      <c r="T91" s="120"/>
      <c r="U91" s="121"/>
    </row>
    <row r="92" spans="1:21" x14ac:dyDescent="0.3">
      <c r="A92" s="8">
        <v>77</v>
      </c>
      <c r="B92" s="8" t="s">
        <v>467</v>
      </c>
      <c r="C92" s="9" t="s">
        <v>157</v>
      </c>
      <c r="D92" s="10" t="s">
        <v>165</v>
      </c>
      <c r="E92" s="30">
        <v>20061</v>
      </c>
      <c r="F92" s="12" t="s">
        <v>4</v>
      </c>
      <c r="G92" s="16" t="s">
        <v>16</v>
      </c>
      <c r="H92" s="16"/>
      <c r="I92" s="9" t="s">
        <v>13</v>
      </c>
      <c r="J92" s="12">
        <v>2</v>
      </c>
      <c r="K92" s="8" t="s">
        <v>261</v>
      </c>
      <c r="L92" s="9" t="s">
        <v>258</v>
      </c>
      <c r="M92" s="160"/>
      <c r="N92" s="9" t="s">
        <v>258</v>
      </c>
      <c r="O92" s="9"/>
      <c r="Q92" s="118">
        <f t="shared" si="8"/>
        <v>2</v>
      </c>
      <c r="R92" s="118" t="str">
        <f t="shared" si="9"/>
        <v/>
      </c>
      <c r="S92" s="122"/>
      <c r="T92" s="120"/>
      <c r="U92" s="121"/>
    </row>
    <row r="93" spans="1:21" x14ac:dyDescent="0.3">
      <c r="A93" s="8">
        <v>78</v>
      </c>
      <c r="B93" s="8" t="s">
        <v>467</v>
      </c>
      <c r="C93" s="9" t="s">
        <v>157</v>
      </c>
      <c r="D93" s="10" t="s">
        <v>166</v>
      </c>
      <c r="E93" s="30">
        <v>20036</v>
      </c>
      <c r="F93" s="12" t="s">
        <v>4</v>
      </c>
      <c r="G93" s="16" t="s">
        <v>16</v>
      </c>
      <c r="H93" s="16"/>
      <c r="I93" s="9" t="s">
        <v>13</v>
      </c>
      <c r="J93" s="12">
        <v>3</v>
      </c>
      <c r="K93" s="8" t="s">
        <v>261</v>
      </c>
      <c r="L93" s="9" t="s">
        <v>258</v>
      </c>
      <c r="M93" s="160"/>
      <c r="N93" s="9" t="s">
        <v>258</v>
      </c>
      <c r="O93" s="9"/>
      <c r="Q93" s="118">
        <f t="shared" si="8"/>
        <v>3</v>
      </c>
      <c r="R93" s="118" t="str">
        <f t="shared" si="9"/>
        <v/>
      </c>
      <c r="S93" s="122"/>
      <c r="T93" s="120"/>
      <c r="U93" s="121"/>
    </row>
    <row r="94" spans="1:21" x14ac:dyDescent="0.3">
      <c r="A94" s="8">
        <v>79</v>
      </c>
      <c r="B94" s="8" t="s">
        <v>467</v>
      </c>
      <c r="C94" s="9" t="s">
        <v>157</v>
      </c>
      <c r="D94" s="10" t="s">
        <v>167</v>
      </c>
      <c r="E94" s="30">
        <v>17061</v>
      </c>
      <c r="F94" s="12" t="s">
        <v>4</v>
      </c>
      <c r="G94" s="16" t="s">
        <v>16</v>
      </c>
      <c r="H94" s="16"/>
      <c r="I94" s="9" t="s">
        <v>13</v>
      </c>
      <c r="J94" s="12">
        <v>3</v>
      </c>
      <c r="K94" s="8" t="s">
        <v>261</v>
      </c>
      <c r="L94" s="9" t="s">
        <v>258</v>
      </c>
      <c r="M94" s="160"/>
      <c r="N94" s="9" t="s">
        <v>258</v>
      </c>
      <c r="O94" s="9"/>
      <c r="Q94" s="118">
        <f t="shared" si="8"/>
        <v>3</v>
      </c>
      <c r="R94" s="118" t="str">
        <f t="shared" si="9"/>
        <v/>
      </c>
      <c r="S94" s="122"/>
      <c r="T94" s="120"/>
      <c r="U94" s="121"/>
    </row>
    <row r="95" spans="1:21" x14ac:dyDescent="0.3">
      <c r="A95" s="8">
        <v>80</v>
      </c>
      <c r="B95" s="8" t="s">
        <v>467</v>
      </c>
      <c r="C95" s="9" t="s">
        <v>157</v>
      </c>
      <c r="D95" s="10" t="s">
        <v>168</v>
      </c>
      <c r="E95" s="30">
        <v>17047</v>
      </c>
      <c r="F95" s="12" t="s">
        <v>4</v>
      </c>
      <c r="G95" s="16" t="s">
        <v>16</v>
      </c>
      <c r="H95" s="16"/>
      <c r="I95" s="9" t="s">
        <v>13</v>
      </c>
      <c r="J95" s="12">
        <v>4</v>
      </c>
      <c r="K95" s="8" t="s">
        <v>261</v>
      </c>
      <c r="L95" s="9" t="s">
        <v>258</v>
      </c>
      <c r="M95" s="160"/>
      <c r="N95" s="9" t="s">
        <v>258</v>
      </c>
      <c r="O95" s="9"/>
      <c r="Q95" s="118">
        <f t="shared" si="8"/>
        <v>4</v>
      </c>
      <c r="R95" s="118" t="str">
        <f t="shared" si="9"/>
        <v/>
      </c>
      <c r="S95" s="122"/>
      <c r="T95" s="120"/>
      <c r="U95" s="121"/>
    </row>
    <row r="96" spans="1:21" x14ac:dyDescent="0.3">
      <c r="A96" s="8">
        <v>81</v>
      </c>
      <c r="B96" s="8" t="s">
        <v>467</v>
      </c>
      <c r="C96" s="9" t="s">
        <v>157</v>
      </c>
      <c r="D96" s="10" t="s">
        <v>169</v>
      </c>
      <c r="E96" s="30">
        <v>18098</v>
      </c>
      <c r="F96" s="12" t="s">
        <v>4</v>
      </c>
      <c r="G96" s="16" t="s">
        <v>16</v>
      </c>
      <c r="H96" s="16"/>
      <c r="I96" s="9" t="s">
        <v>13</v>
      </c>
      <c r="J96" s="12">
        <v>2</v>
      </c>
      <c r="K96" s="8" t="s">
        <v>261</v>
      </c>
      <c r="L96" s="9" t="s">
        <v>258</v>
      </c>
      <c r="M96" s="160"/>
      <c r="N96" s="9" t="s">
        <v>258</v>
      </c>
      <c r="O96" s="9"/>
      <c r="Q96" s="118">
        <f t="shared" si="8"/>
        <v>2</v>
      </c>
      <c r="R96" s="118" t="str">
        <f t="shared" si="9"/>
        <v/>
      </c>
      <c r="S96" s="122"/>
      <c r="T96" s="120"/>
      <c r="U96" s="121"/>
    </row>
    <row r="97" spans="1:21" x14ac:dyDescent="0.3">
      <c r="A97" s="8">
        <v>82</v>
      </c>
      <c r="B97" s="8" t="s">
        <v>467</v>
      </c>
      <c r="C97" s="9" t="s">
        <v>157</v>
      </c>
      <c r="D97" s="10" t="s">
        <v>170</v>
      </c>
      <c r="E97" s="30">
        <v>18099</v>
      </c>
      <c r="F97" s="12" t="s">
        <v>4</v>
      </c>
      <c r="G97" s="16" t="s">
        <v>16</v>
      </c>
      <c r="H97" s="16"/>
      <c r="I97" s="9" t="s">
        <v>13</v>
      </c>
      <c r="J97" s="12">
        <v>2</v>
      </c>
      <c r="K97" s="8" t="s">
        <v>261</v>
      </c>
      <c r="L97" s="9" t="s">
        <v>258</v>
      </c>
      <c r="M97" s="160"/>
      <c r="N97" s="9" t="s">
        <v>258</v>
      </c>
      <c r="O97" s="9"/>
      <c r="Q97" s="118">
        <f t="shared" si="8"/>
        <v>2</v>
      </c>
      <c r="R97" s="118" t="str">
        <f t="shared" si="9"/>
        <v/>
      </c>
      <c r="S97" s="122"/>
      <c r="T97" s="120"/>
      <c r="U97" s="121"/>
    </row>
    <row r="98" spans="1:21" x14ac:dyDescent="0.3">
      <c r="A98" s="8">
        <v>83</v>
      </c>
      <c r="B98" s="8" t="s">
        <v>467</v>
      </c>
      <c r="C98" s="9" t="s">
        <v>157</v>
      </c>
      <c r="D98" s="10" t="s">
        <v>171</v>
      </c>
      <c r="E98" s="30">
        <v>19077</v>
      </c>
      <c r="F98" s="12" t="s">
        <v>4</v>
      </c>
      <c r="G98" s="16" t="s">
        <v>16</v>
      </c>
      <c r="H98" s="16"/>
      <c r="I98" s="9" t="s">
        <v>13</v>
      </c>
      <c r="J98" s="12">
        <v>2</v>
      </c>
      <c r="K98" s="8" t="s">
        <v>261</v>
      </c>
      <c r="L98" s="9" t="s">
        <v>258</v>
      </c>
      <c r="M98" s="160"/>
      <c r="N98" s="9" t="s">
        <v>258</v>
      </c>
      <c r="O98" s="9"/>
      <c r="Q98" s="118">
        <f t="shared" si="8"/>
        <v>2</v>
      </c>
      <c r="R98" s="118" t="str">
        <f t="shared" si="9"/>
        <v/>
      </c>
      <c r="S98" s="122"/>
      <c r="T98" s="120"/>
      <c r="U98" s="121"/>
    </row>
    <row r="99" spans="1:21" x14ac:dyDescent="0.3">
      <c r="A99" s="8">
        <v>84</v>
      </c>
      <c r="B99" s="8" t="s">
        <v>467</v>
      </c>
      <c r="C99" s="9" t="s">
        <v>157</v>
      </c>
      <c r="D99" s="10" t="s">
        <v>172</v>
      </c>
      <c r="E99" s="30">
        <v>17007</v>
      </c>
      <c r="F99" s="12" t="s">
        <v>4</v>
      </c>
      <c r="G99" s="12" t="s">
        <v>16</v>
      </c>
      <c r="H99" s="12"/>
      <c r="I99" s="9" t="s">
        <v>13</v>
      </c>
      <c r="J99" s="15">
        <v>4</v>
      </c>
      <c r="K99" s="8" t="s">
        <v>261</v>
      </c>
      <c r="L99" s="9" t="s">
        <v>258</v>
      </c>
      <c r="M99" s="160"/>
      <c r="N99" s="9" t="s">
        <v>258</v>
      </c>
      <c r="O99" s="9"/>
      <c r="Q99" s="118">
        <f t="shared" si="8"/>
        <v>4</v>
      </c>
      <c r="R99" s="118" t="str">
        <f t="shared" si="9"/>
        <v/>
      </c>
      <c r="S99" s="122"/>
      <c r="T99" s="120"/>
      <c r="U99" s="121"/>
    </row>
    <row r="100" spans="1:21" x14ac:dyDescent="0.3">
      <c r="A100" s="8">
        <v>85</v>
      </c>
      <c r="B100" s="8" t="s">
        <v>467</v>
      </c>
      <c r="C100" s="9" t="s">
        <v>157</v>
      </c>
      <c r="D100" s="10" t="s">
        <v>173</v>
      </c>
      <c r="E100" s="30">
        <v>1058</v>
      </c>
      <c r="F100" s="12" t="s">
        <v>4</v>
      </c>
      <c r="G100" s="12" t="s">
        <v>16</v>
      </c>
      <c r="H100" s="12"/>
      <c r="I100" s="9" t="s">
        <v>13</v>
      </c>
      <c r="J100" s="15">
        <v>3</v>
      </c>
      <c r="K100" s="8" t="s">
        <v>261</v>
      </c>
      <c r="L100" s="9" t="s">
        <v>258</v>
      </c>
      <c r="M100" s="160"/>
      <c r="N100" s="9" t="s">
        <v>258</v>
      </c>
      <c r="O100" s="9"/>
      <c r="Q100" s="118">
        <f t="shared" si="8"/>
        <v>3</v>
      </c>
      <c r="R100" s="118" t="str">
        <f t="shared" si="9"/>
        <v/>
      </c>
      <c r="S100" s="122"/>
      <c r="T100" s="120"/>
      <c r="U100" s="121"/>
    </row>
    <row r="101" spans="1:21" x14ac:dyDescent="0.3">
      <c r="A101" s="8">
        <v>86</v>
      </c>
      <c r="B101" s="8" t="s">
        <v>467</v>
      </c>
      <c r="C101" s="9" t="s">
        <v>157</v>
      </c>
      <c r="D101" s="10" t="s">
        <v>174</v>
      </c>
      <c r="E101" s="30">
        <v>1059</v>
      </c>
      <c r="F101" s="12" t="s">
        <v>4</v>
      </c>
      <c r="G101" s="12" t="s">
        <v>16</v>
      </c>
      <c r="H101" s="12"/>
      <c r="I101" s="9" t="s">
        <v>13</v>
      </c>
      <c r="J101" s="15">
        <v>4</v>
      </c>
      <c r="K101" s="8" t="s">
        <v>261</v>
      </c>
      <c r="L101" s="9" t="s">
        <v>258</v>
      </c>
      <c r="M101" s="160"/>
      <c r="N101" s="9" t="s">
        <v>258</v>
      </c>
      <c r="O101" s="9"/>
      <c r="Q101" s="118">
        <f t="shared" si="8"/>
        <v>4</v>
      </c>
      <c r="R101" s="118" t="str">
        <f t="shared" si="9"/>
        <v/>
      </c>
      <c r="S101" s="122"/>
      <c r="T101" s="120"/>
      <c r="U101" s="121"/>
    </row>
    <row r="102" spans="1:21" x14ac:dyDescent="0.3">
      <c r="A102" s="8">
        <v>101</v>
      </c>
      <c r="B102" s="8" t="s">
        <v>467</v>
      </c>
      <c r="C102" s="9" t="s">
        <v>157</v>
      </c>
      <c r="D102" s="10" t="s">
        <v>209</v>
      </c>
      <c r="E102" s="30">
        <v>19062</v>
      </c>
      <c r="F102" s="12" t="s">
        <v>4</v>
      </c>
      <c r="G102" s="12" t="s">
        <v>16</v>
      </c>
      <c r="H102" s="12" t="s">
        <v>502</v>
      </c>
      <c r="I102" s="9" t="s">
        <v>178</v>
      </c>
      <c r="J102" s="15">
        <v>3</v>
      </c>
      <c r="K102" s="151" t="s">
        <v>496</v>
      </c>
      <c r="L102" s="9" t="s">
        <v>258</v>
      </c>
      <c r="M102" s="160"/>
      <c r="N102" s="9" t="s">
        <v>258</v>
      </c>
      <c r="O102" s="9"/>
      <c r="Q102" s="118" t="str">
        <f t="shared" si="8"/>
        <v/>
      </c>
      <c r="R102" s="118">
        <f t="shared" si="9"/>
        <v>3</v>
      </c>
      <c r="S102" s="122"/>
      <c r="T102" s="120"/>
      <c r="U102" s="127"/>
    </row>
    <row r="103" spans="1:21" x14ac:dyDescent="0.3">
      <c r="A103" s="8">
        <v>102</v>
      </c>
      <c r="B103" s="8" t="s">
        <v>467</v>
      </c>
      <c r="C103" s="9" t="s">
        <v>157</v>
      </c>
      <c r="D103" s="10" t="s">
        <v>210</v>
      </c>
      <c r="E103" s="30">
        <v>19055</v>
      </c>
      <c r="F103" s="12" t="s">
        <v>4</v>
      </c>
      <c r="G103" s="12" t="s">
        <v>16</v>
      </c>
      <c r="H103" s="12" t="s">
        <v>502</v>
      </c>
      <c r="I103" s="173" t="s">
        <v>511</v>
      </c>
      <c r="J103" s="15">
        <v>2</v>
      </c>
      <c r="K103" s="151" t="s">
        <v>496</v>
      </c>
      <c r="L103" s="9" t="s">
        <v>258</v>
      </c>
      <c r="M103" s="160"/>
      <c r="N103" s="9" t="s">
        <v>258</v>
      </c>
      <c r="O103" s="9"/>
      <c r="Q103" s="118" t="str">
        <f t="shared" si="8"/>
        <v/>
      </c>
      <c r="R103" s="118">
        <f t="shared" si="9"/>
        <v>2</v>
      </c>
      <c r="S103" s="122"/>
      <c r="T103" s="120"/>
      <c r="U103" s="121"/>
    </row>
    <row r="104" spans="1:21" x14ac:dyDescent="0.3">
      <c r="A104" s="8">
        <v>103</v>
      </c>
      <c r="B104" s="8" t="s">
        <v>467</v>
      </c>
      <c r="C104" s="9" t="s">
        <v>157</v>
      </c>
      <c r="D104" s="10" t="s">
        <v>211</v>
      </c>
      <c r="E104" s="30">
        <v>19015</v>
      </c>
      <c r="F104" s="12" t="s">
        <v>4</v>
      </c>
      <c r="G104" s="12" t="s">
        <v>16</v>
      </c>
      <c r="H104" s="12" t="s">
        <v>502</v>
      </c>
      <c r="I104" s="173" t="s">
        <v>511</v>
      </c>
      <c r="J104" s="15">
        <v>4</v>
      </c>
      <c r="K104" s="151" t="s">
        <v>496</v>
      </c>
      <c r="L104" s="9" t="s">
        <v>258</v>
      </c>
      <c r="M104" s="160"/>
      <c r="N104" s="9" t="s">
        <v>258</v>
      </c>
      <c r="O104" s="9"/>
      <c r="Q104" s="118" t="str">
        <f t="shared" si="8"/>
        <v/>
      </c>
      <c r="R104" s="118">
        <f t="shared" si="9"/>
        <v>4</v>
      </c>
      <c r="S104" s="122"/>
      <c r="T104" s="120"/>
      <c r="U104" s="121"/>
    </row>
    <row r="105" spans="1:21" x14ac:dyDescent="0.3">
      <c r="A105" s="8">
        <v>104</v>
      </c>
      <c r="B105" s="8" t="s">
        <v>467</v>
      </c>
      <c r="C105" s="9" t="s">
        <v>157</v>
      </c>
      <c r="D105" s="10" t="s">
        <v>212</v>
      </c>
      <c r="E105" s="30">
        <v>19017</v>
      </c>
      <c r="F105" s="12" t="s">
        <v>4</v>
      </c>
      <c r="G105" s="12" t="s">
        <v>16</v>
      </c>
      <c r="H105" s="12" t="s">
        <v>502</v>
      </c>
      <c r="I105" s="173" t="s">
        <v>511</v>
      </c>
      <c r="J105" s="15">
        <v>4</v>
      </c>
      <c r="K105" s="151" t="s">
        <v>496</v>
      </c>
      <c r="L105" s="9" t="s">
        <v>258</v>
      </c>
      <c r="M105" s="160"/>
      <c r="N105" s="9" t="s">
        <v>258</v>
      </c>
      <c r="O105" s="9"/>
      <c r="Q105" s="118" t="str">
        <f t="shared" si="8"/>
        <v/>
      </c>
      <c r="R105" s="118">
        <f t="shared" si="9"/>
        <v>4</v>
      </c>
      <c r="S105" s="122"/>
      <c r="T105" s="120"/>
      <c r="U105" s="121"/>
    </row>
    <row r="106" spans="1:21" x14ac:dyDescent="0.3">
      <c r="A106" s="8">
        <v>105</v>
      </c>
      <c r="B106" s="8" t="s">
        <v>467</v>
      </c>
      <c r="C106" s="9" t="s">
        <v>157</v>
      </c>
      <c r="D106" s="10" t="s">
        <v>213</v>
      </c>
      <c r="E106" s="30">
        <v>19006</v>
      </c>
      <c r="F106" s="12" t="s">
        <v>4</v>
      </c>
      <c r="G106" s="12" t="s">
        <v>16</v>
      </c>
      <c r="H106" s="12" t="s">
        <v>502</v>
      </c>
      <c r="I106" s="9" t="s">
        <v>178</v>
      </c>
      <c r="J106" s="15">
        <v>4</v>
      </c>
      <c r="K106" s="151" t="s">
        <v>496</v>
      </c>
      <c r="L106" s="9" t="s">
        <v>258</v>
      </c>
      <c r="M106" s="160"/>
      <c r="N106" s="9" t="s">
        <v>258</v>
      </c>
      <c r="O106" s="9"/>
      <c r="Q106" s="118" t="str">
        <f t="shared" si="8"/>
        <v/>
      </c>
      <c r="R106" s="118">
        <f t="shared" si="9"/>
        <v>4</v>
      </c>
      <c r="S106" s="122"/>
      <c r="T106" s="120"/>
      <c r="U106" s="121"/>
    </row>
    <row r="107" spans="1:21" x14ac:dyDescent="0.3">
      <c r="A107" s="8">
        <v>106</v>
      </c>
      <c r="B107" s="8" t="s">
        <v>467</v>
      </c>
      <c r="C107" s="9" t="s">
        <v>157</v>
      </c>
      <c r="D107" s="10" t="s">
        <v>214</v>
      </c>
      <c r="E107" s="30">
        <v>18038</v>
      </c>
      <c r="F107" s="12" t="s">
        <v>4</v>
      </c>
      <c r="G107" s="12" t="s">
        <v>16</v>
      </c>
      <c r="H107" s="12" t="s">
        <v>502</v>
      </c>
      <c r="I107" s="9" t="s">
        <v>178</v>
      </c>
      <c r="J107" s="15">
        <v>3</v>
      </c>
      <c r="K107" s="151" t="s">
        <v>496</v>
      </c>
      <c r="L107" s="9" t="s">
        <v>258</v>
      </c>
      <c r="M107" s="160"/>
      <c r="N107" s="9" t="s">
        <v>258</v>
      </c>
      <c r="O107" s="9"/>
      <c r="Q107" s="118" t="str">
        <f t="shared" si="8"/>
        <v/>
      </c>
      <c r="R107" s="118">
        <f t="shared" si="9"/>
        <v>3</v>
      </c>
      <c r="S107" s="122"/>
      <c r="T107" s="120"/>
      <c r="U107" s="121"/>
    </row>
    <row r="108" spans="1:21" x14ac:dyDescent="0.3">
      <c r="A108" s="8">
        <v>107</v>
      </c>
      <c r="B108" s="8" t="s">
        <v>467</v>
      </c>
      <c r="C108" s="9" t="s">
        <v>157</v>
      </c>
      <c r="D108" s="10" t="s">
        <v>215</v>
      </c>
      <c r="E108" s="30">
        <v>18019</v>
      </c>
      <c r="F108" s="12" t="s">
        <v>4</v>
      </c>
      <c r="G108" s="12" t="s">
        <v>16</v>
      </c>
      <c r="H108" s="12" t="s">
        <v>16</v>
      </c>
      <c r="I108" s="9" t="s">
        <v>178</v>
      </c>
      <c r="J108" s="15">
        <v>2</v>
      </c>
      <c r="K108" s="151" t="s">
        <v>496</v>
      </c>
      <c r="L108" s="9" t="s">
        <v>258</v>
      </c>
      <c r="M108" s="160"/>
      <c r="N108" s="9" t="s">
        <v>258</v>
      </c>
      <c r="O108" s="9"/>
      <c r="Q108" s="118" t="str">
        <f t="shared" si="8"/>
        <v/>
      </c>
      <c r="R108" s="118">
        <f t="shared" si="9"/>
        <v>2</v>
      </c>
      <c r="S108" s="122"/>
      <c r="T108" s="120"/>
      <c r="U108" s="121"/>
    </row>
    <row r="109" spans="1:21" x14ac:dyDescent="0.3">
      <c r="A109" s="8">
        <v>108</v>
      </c>
      <c r="B109" s="8" t="s">
        <v>467</v>
      </c>
      <c r="C109" s="9" t="s">
        <v>157</v>
      </c>
      <c r="D109" s="10" t="s">
        <v>216</v>
      </c>
      <c r="E109" s="30">
        <v>19028</v>
      </c>
      <c r="F109" s="12" t="s">
        <v>4</v>
      </c>
      <c r="G109" s="12" t="s">
        <v>16</v>
      </c>
      <c r="H109" s="12" t="s">
        <v>502</v>
      </c>
      <c r="I109" s="9" t="s">
        <v>178</v>
      </c>
      <c r="J109" s="15">
        <v>3</v>
      </c>
      <c r="K109" s="151" t="s">
        <v>496</v>
      </c>
      <c r="L109" s="9" t="s">
        <v>258</v>
      </c>
      <c r="M109" s="160"/>
      <c r="N109" s="9" t="s">
        <v>258</v>
      </c>
      <c r="O109" s="9"/>
      <c r="Q109" s="118" t="str">
        <f t="shared" si="8"/>
        <v/>
      </c>
      <c r="R109" s="118">
        <f t="shared" si="9"/>
        <v>3</v>
      </c>
      <c r="S109" s="122"/>
      <c r="T109" s="120"/>
      <c r="U109" s="121"/>
    </row>
    <row r="110" spans="1:21" x14ac:dyDescent="0.3">
      <c r="A110" s="8">
        <v>109</v>
      </c>
      <c r="B110" s="8" t="s">
        <v>467</v>
      </c>
      <c r="C110" s="9" t="s">
        <v>157</v>
      </c>
      <c r="D110" s="10" t="s">
        <v>217</v>
      </c>
      <c r="E110" s="30">
        <v>19029</v>
      </c>
      <c r="F110" s="12" t="s">
        <v>4</v>
      </c>
      <c r="G110" s="12" t="s">
        <v>16</v>
      </c>
      <c r="H110" s="12" t="s">
        <v>502</v>
      </c>
      <c r="I110" s="9" t="s">
        <v>178</v>
      </c>
      <c r="J110" s="15">
        <v>4</v>
      </c>
      <c r="K110" s="151" t="s">
        <v>496</v>
      </c>
      <c r="L110" s="9" t="s">
        <v>258</v>
      </c>
      <c r="M110" s="160"/>
      <c r="N110" s="9" t="s">
        <v>258</v>
      </c>
      <c r="O110" s="9"/>
      <c r="Q110" s="118" t="str">
        <f t="shared" si="8"/>
        <v/>
      </c>
      <c r="R110" s="118">
        <f t="shared" si="9"/>
        <v>4</v>
      </c>
      <c r="S110" s="122"/>
      <c r="T110" s="120"/>
      <c r="U110" s="121"/>
    </row>
    <row r="111" spans="1:21" x14ac:dyDescent="0.3">
      <c r="A111" s="8">
        <v>110</v>
      </c>
      <c r="B111" s="8" t="s">
        <v>467</v>
      </c>
      <c r="C111" s="9" t="s">
        <v>157</v>
      </c>
      <c r="D111" s="10" t="s">
        <v>218</v>
      </c>
      <c r="E111" s="30">
        <v>1023</v>
      </c>
      <c r="F111" s="12" t="s">
        <v>4</v>
      </c>
      <c r="G111" s="12" t="s">
        <v>16</v>
      </c>
      <c r="H111" s="12"/>
      <c r="I111" s="173" t="s">
        <v>511</v>
      </c>
      <c r="J111" s="15">
        <v>3</v>
      </c>
      <c r="K111" s="151" t="s">
        <v>496</v>
      </c>
      <c r="L111" s="9" t="s">
        <v>258</v>
      </c>
      <c r="M111" s="160"/>
      <c r="N111" s="9" t="s">
        <v>258</v>
      </c>
      <c r="O111" s="9"/>
      <c r="Q111" s="118" t="str">
        <f t="shared" si="8"/>
        <v/>
      </c>
      <c r="R111" s="118">
        <f t="shared" si="9"/>
        <v>3</v>
      </c>
      <c r="S111" s="122"/>
      <c r="T111" s="120"/>
      <c r="U111" s="121"/>
    </row>
    <row r="112" spans="1:21" x14ac:dyDescent="0.3">
      <c r="A112" s="8">
        <v>111</v>
      </c>
      <c r="B112" s="8" t="s">
        <v>467</v>
      </c>
      <c r="C112" s="9" t="s">
        <v>157</v>
      </c>
      <c r="D112" s="10" t="s">
        <v>219</v>
      </c>
      <c r="E112" s="30">
        <v>1024</v>
      </c>
      <c r="F112" s="12" t="s">
        <v>4</v>
      </c>
      <c r="G112" s="12" t="s">
        <v>16</v>
      </c>
      <c r="H112" s="12"/>
      <c r="I112" s="173" t="s">
        <v>511</v>
      </c>
      <c r="J112" s="15">
        <v>4</v>
      </c>
      <c r="K112" s="151" t="s">
        <v>496</v>
      </c>
      <c r="L112" s="9" t="s">
        <v>258</v>
      </c>
      <c r="M112" s="160"/>
      <c r="N112" s="9" t="s">
        <v>258</v>
      </c>
      <c r="O112" s="9"/>
      <c r="Q112" s="118" t="str">
        <f t="shared" si="8"/>
        <v/>
      </c>
      <c r="R112" s="118">
        <f t="shared" si="9"/>
        <v>4</v>
      </c>
      <c r="S112" s="122"/>
      <c r="T112" s="120"/>
      <c r="U112" s="121"/>
    </row>
    <row r="113" spans="1:26" x14ac:dyDescent="0.3">
      <c r="A113" s="8">
        <v>112</v>
      </c>
      <c r="B113" s="8" t="s">
        <v>467</v>
      </c>
      <c r="C113" s="9" t="s">
        <v>157</v>
      </c>
      <c r="D113" s="10" t="s">
        <v>221</v>
      </c>
      <c r="E113" s="30">
        <v>15014</v>
      </c>
      <c r="F113" s="12" t="s">
        <v>4</v>
      </c>
      <c r="G113" s="12" t="s">
        <v>16</v>
      </c>
      <c r="H113" s="12" t="s">
        <v>502</v>
      </c>
      <c r="I113" s="9" t="s">
        <v>178</v>
      </c>
      <c r="J113" s="15">
        <v>3</v>
      </c>
      <c r="K113" s="151" t="s">
        <v>496</v>
      </c>
      <c r="L113" s="9" t="s">
        <v>258</v>
      </c>
      <c r="M113" s="160"/>
      <c r="N113" s="9" t="s">
        <v>258</v>
      </c>
      <c r="O113" s="9"/>
      <c r="Q113" s="118" t="str">
        <f t="shared" si="8"/>
        <v/>
      </c>
      <c r="R113" s="118">
        <f t="shared" si="9"/>
        <v>3</v>
      </c>
      <c r="S113" s="122"/>
      <c r="T113" s="120"/>
      <c r="U113" s="121"/>
    </row>
    <row r="114" spans="1:26" x14ac:dyDescent="0.3">
      <c r="A114" s="8">
        <v>113</v>
      </c>
      <c r="B114" s="8" t="s">
        <v>467</v>
      </c>
      <c r="C114" s="9" t="s">
        <v>157</v>
      </c>
      <c r="D114" s="10" t="s">
        <v>222</v>
      </c>
      <c r="E114" s="30">
        <v>1218</v>
      </c>
      <c r="F114" s="12" t="s">
        <v>4</v>
      </c>
      <c r="G114" s="12" t="s">
        <v>16</v>
      </c>
      <c r="H114" s="12" t="s">
        <v>502</v>
      </c>
      <c r="I114" s="173" t="s">
        <v>511</v>
      </c>
      <c r="J114" s="15">
        <v>4</v>
      </c>
      <c r="K114" s="151" t="s">
        <v>496</v>
      </c>
      <c r="L114" s="9" t="s">
        <v>258</v>
      </c>
      <c r="M114" s="160"/>
      <c r="N114" s="9" t="s">
        <v>258</v>
      </c>
      <c r="O114" s="9"/>
      <c r="Q114" s="118" t="str">
        <f t="shared" si="8"/>
        <v/>
      </c>
      <c r="R114" s="118">
        <f t="shared" si="9"/>
        <v>4</v>
      </c>
      <c r="S114" s="122"/>
      <c r="T114" s="120"/>
      <c r="U114" s="121"/>
    </row>
    <row r="115" spans="1:26" x14ac:dyDescent="0.3">
      <c r="A115" s="8">
        <v>114</v>
      </c>
      <c r="B115" s="8" t="s">
        <v>467</v>
      </c>
      <c r="C115" s="9" t="s">
        <v>157</v>
      </c>
      <c r="D115" s="10" t="s">
        <v>223</v>
      </c>
      <c r="E115" s="30">
        <v>1104</v>
      </c>
      <c r="F115" s="12" t="s">
        <v>4</v>
      </c>
      <c r="G115" s="12" t="s">
        <v>16</v>
      </c>
      <c r="H115" s="12" t="s">
        <v>502</v>
      </c>
      <c r="I115" s="173" t="s">
        <v>511</v>
      </c>
      <c r="J115" s="15">
        <v>4</v>
      </c>
      <c r="K115" s="151" t="s">
        <v>496</v>
      </c>
      <c r="L115" s="9" t="s">
        <v>258</v>
      </c>
      <c r="M115" s="160"/>
      <c r="N115" s="9" t="s">
        <v>258</v>
      </c>
      <c r="O115" s="9"/>
      <c r="Q115" s="118" t="str">
        <f t="shared" si="8"/>
        <v/>
      </c>
      <c r="R115" s="118">
        <f t="shared" si="9"/>
        <v>4</v>
      </c>
      <c r="S115" s="122"/>
      <c r="T115" s="120"/>
      <c r="U115" s="121"/>
    </row>
    <row r="116" spans="1:26" x14ac:dyDescent="0.3">
      <c r="A116" s="8">
        <v>115</v>
      </c>
      <c r="B116" s="8" t="s">
        <v>467</v>
      </c>
      <c r="C116" s="9" t="s">
        <v>157</v>
      </c>
      <c r="D116" s="10" t="s">
        <v>224</v>
      </c>
      <c r="E116" s="30">
        <v>1093</v>
      </c>
      <c r="F116" s="12" t="s">
        <v>4</v>
      </c>
      <c r="G116" s="12" t="s">
        <v>16</v>
      </c>
      <c r="H116" s="12" t="s">
        <v>502</v>
      </c>
      <c r="I116" s="173" t="s">
        <v>511</v>
      </c>
      <c r="J116" s="15">
        <v>3</v>
      </c>
      <c r="K116" s="151" t="s">
        <v>496</v>
      </c>
      <c r="L116" s="9" t="s">
        <v>258</v>
      </c>
      <c r="M116" s="160"/>
      <c r="N116" s="9" t="s">
        <v>258</v>
      </c>
      <c r="O116" s="9"/>
      <c r="Q116" s="118" t="str">
        <f t="shared" si="8"/>
        <v/>
      </c>
      <c r="R116" s="118">
        <f t="shared" si="9"/>
        <v>3</v>
      </c>
      <c r="S116" s="122"/>
      <c r="T116" s="120"/>
      <c r="U116" s="121"/>
    </row>
    <row r="117" spans="1:26" x14ac:dyDescent="0.3">
      <c r="A117" s="8">
        <v>116</v>
      </c>
      <c r="B117" s="8" t="s">
        <v>467</v>
      </c>
      <c r="C117" s="9" t="s">
        <v>157</v>
      </c>
      <c r="D117" s="10" t="s">
        <v>225</v>
      </c>
      <c r="E117" s="30">
        <v>1044</v>
      </c>
      <c r="F117" s="12" t="s">
        <v>4</v>
      </c>
      <c r="G117" s="12" t="s">
        <v>16</v>
      </c>
      <c r="H117" s="12" t="s">
        <v>502</v>
      </c>
      <c r="I117" s="173" t="s">
        <v>511</v>
      </c>
      <c r="J117" s="15">
        <v>4</v>
      </c>
      <c r="K117" s="151" t="s">
        <v>496</v>
      </c>
      <c r="L117" s="9" t="s">
        <v>258</v>
      </c>
      <c r="M117" s="160"/>
      <c r="N117" s="9" t="s">
        <v>258</v>
      </c>
      <c r="O117" s="9"/>
      <c r="Q117" s="118" t="str">
        <f t="shared" si="8"/>
        <v/>
      </c>
      <c r="R117" s="118">
        <f t="shared" si="9"/>
        <v>4</v>
      </c>
      <c r="S117" s="122"/>
      <c r="T117" s="120"/>
      <c r="U117" s="121"/>
    </row>
    <row r="118" spans="1:26" x14ac:dyDescent="0.3">
      <c r="A118" s="8">
        <v>117</v>
      </c>
      <c r="B118" s="8" t="s">
        <v>467</v>
      </c>
      <c r="C118" s="9" t="s">
        <v>157</v>
      </c>
      <c r="D118" s="10" t="s">
        <v>226</v>
      </c>
      <c r="E118" s="30">
        <v>1003</v>
      </c>
      <c r="F118" s="12" t="s">
        <v>4</v>
      </c>
      <c r="G118" s="12" t="s">
        <v>16</v>
      </c>
      <c r="H118" s="12"/>
      <c r="I118" s="9" t="s">
        <v>178</v>
      </c>
      <c r="J118" s="15">
        <v>4</v>
      </c>
      <c r="K118" s="151" t="s">
        <v>496</v>
      </c>
      <c r="L118" s="9" t="s">
        <v>258</v>
      </c>
      <c r="M118" s="160"/>
      <c r="N118" s="9" t="s">
        <v>258</v>
      </c>
      <c r="O118" s="9"/>
      <c r="Q118" s="118" t="str">
        <f t="shared" si="8"/>
        <v/>
      </c>
      <c r="R118" s="118">
        <f t="shared" si="9"/>
        <v>4</v>
      </c>
      <c r="S118" s="122"/>
      <c r="T118" s="120"/>
      <c r="U118" s="121"/>
    </row>
    <row r="119" spans="1:26" x14ac:dyDescent="0.3">
      <c r="A119" s="8">
        <v>118</v>
      </c>
      <c r="B119" s="8" t="s">
        <v>467</v>
      </c>
      <c r="C119" s="9" t="s">
        <v>157</v>
      </c>
      <c r="D119" s="10" t="s">
        <v>227</v>
      </c>
      <c r="E119" s="30">
        <v>2092</v>
      </c>
      <c r="F119" s="12" t="s">
        <v>4</v>
      </c>
      <c r="G119" s="12" t="s">
        <v>16</v>
      </c>
      <c r="H119" s="12"/>
      <c r="I119" s="9" t="s">
        <v>178</v>
      </c>
      <c r="J119" s="15">
        <v>4</v>
      </c>
      <c r="K119" s="151" t="s">
        <v>496</v>
      </c>
      <c r="L119" s="9" t="s">
        <v>258</v>
      </c>
      <c r="M119" s="160"/>
      <c r="N119" s="9" t="s">
        <v>258</v>
      </c>
      <c r="O119" s="9"/>
      <c r="Q119" s="118" t="str">
        <f t="shared" si="8"/>
        <v/>
      </c>
      <c r="R119" s="118">
        <f t="shared" si="9"/>
        <v>4</v>
      </c>
      <c r="S119" s="122"/>
      <c r="T119" s="120"/>
      <c r="U119" s="121"/>
    </row>
    <row r="120" spans="1:26" x14ac:dyDescent="0.3">
      <c r="A120" s="8">
        <v>119</v>
      </c>
      <c r="B120" s="8" t="s">
        <v>467</v>
      </c>
      <c r="C120" s="9" t="s">
        <v>157</v>
      </c>
      <c r="D120" s="10" t="s">
        <v>228</v>
      </c>
      <c r="E120" s="30">
        <v>16026</v>
      </c>
      <c r="F120" s="12" t="s">
        <v>4</v>
      </c>
      <c r="G120" s="12" t="s">
        <v>16</v>
      </c>
      <c r="H120" s="12" t="s">
        <v>502</v>
      </c>
      <c r="I120" s="173" t="s">
        <v>511</v>
      </c>
      <c r="J120" s="15">
        <v>4</v>
      </c>
      <c r="K120" s="151" t="s">
        <v>496</v>
      </c>
      <c r="L120" s="9" t="s">
        <v>258</v>
      </c>
      <c r="M120" s="160"/>
      <c r="N120" s="9" t="s">
        <v>258</v>
      </c>
      <c r="O120" s="9"/>
      <c r="Q120" s="118" t="str">
        <f t="shared" si="8"/>
        <v/>
      </c>
      <c r="R120" s="118">
        <f t="shared" si="9"/>
        <v>4</v>
      </c>
      <c r="S120" s="122"/>
      <c r="T120" s="120"/>
      <c r="U120" s="121"/>
    </row>
    <row r="121" spans="1:26" x14ac:dyDescent="0.3">
      <c r="A121" s="8">
        <v>120</v>
      </c>
      <c r="B121" s="8" t="s">
        <v>467</v>
      </c>
      <c r="C121" s="9" t="s">
        <v>157</v>
      </c>
      <c r="D121" s="10" t="s">
        <v>229</v>
      </c>
      <c r="E121" s="30">
        <v>16027</v>
      </c>
      <c r="F121" s="12" t="s">
        <v>4</v>
      </c>
      <c r="G121" s="12" t="s">
        <v>16</v>
      </c>
      <c r="H121" s="12" t="s">
        <v>502</v>
      </c>
      <c r="I121" s="173" t="s">
        <v>511</v>
      </c>
      <c r="J121" s="15">
        <v>4</v>
      </c>
      <c r="K121" s="151" t="s">
        <v>496</v>
      </c>
      <c r="L121" s="9" t="s">
        <v>258</v>
      </c>
      <c r="M121" s="160"/>
      <c r="N121" s="9" t="s">
        <v>258</v>
      </c>
      <c r="O121" s="9"/>
      <c r="Q121" s="118" t="str">
        <f t="shared" si="8"/>
        <v/>
      </c>
      <c r="R121" s="118">
        <f t="shared" si="9"/>
        <v>4</v>
      </c>
      <c r="S121" s="122"/>
      <c r="T121" s="120"/>
      <c r="U121" s="121"/>
    </row>
    <row r="122" spans="1:26" x14ac:dyDescent="0.3">
      <c r="A122" s="8">
        <v>121</v>
      </c>
      <c r="B122" s="8" t="s">
        <v>467</v>
      </c>
      <c r="C122" s="9" t="s">
        <v>157</v>
      </c>
      <c r="D122" s="10" t="s">
        <v>230</v>
      </c>
      <c r="E122" s="30">
        <v>17114</v>
      </c>
      <c r="F122" s="17" t="s">
        <v>4</v>
      </c>
      <c r="G122" s="17" t="s">
        <v>16</v>
      </c>
      <c r="H122" s="17" t="s">
        <v>502</v>
      </c>
      <c r="I122" s="9" t="s">
        <v>178</v>
      </c>
      <c r="J122" s="15">
        <v>3</v>
      </c>
      <c r="K122" s="151" t="s">
        <v>496</v>
      </c>
      <c r="L122" s="9" t="s">
        <v>258</v>
      </c>
      <c r="M122" s="160"/>
      <c r="N122" s="9" t="s">
        <v>258</v>
      </c>
      <c r="O122" s="9"/>
      <c r="P122" s="108"/>
      <c r="Q122" s="118" t="str">
        <f t="shared" si="8"/>
        <v/>
      </c>
      <c r="R122" s="118">
        <f t="shared" si="9"/>
        <v>3</v>
      </c>
      <c r="S122" s="122"/>
      <c r="T122" s="120"/>
      <c r="U122" s="121"/>
    </row>
    <row r="123" spans="1:26" x14ac:dyDescent="0.3">
      <c r="A123" s="8">
        <v>122</v>
      </c>
      <c r="B123" s="8" t="s">
        <v>467</v>
      </c>
      <c r="C123" s="9" t="s">
        <v>157</v>
      </c>
      <c r="D123" s="10" t="s">
        <v>231</v>
      </c>
      <c r="E123" s="30">
        <v>19013</v>
      </c>
      <c r="F123" s="12" t="s">
        <v>4</v>
      </c>
      <c r="G123" s="12" t="s">
        <v>16</v>
      </c>
      <c r="H123" s="12" t="s">
        <v>502</v>
      </c>
      <c r="I123" s="173" t="s">
        <v>511</v>
      </c>
      <c r="J123" s="15">
        <v>3</v>
      </c>
      <c r="K123" s="151" t="s">
        <v>496</v>
      </c>
      <c r="L123" s="9" t="s">
        <v>258</v>
      </c>
      <c r="M123" s="160"/>
      <c r="N123" s="9" t="s">
        <v>258</v>
      </c>
      <c r="O123" s="9"/>
      <c r="Q123" s="118" t="str">
        <f t="shared" si="8"/>
        <v/>
      </c>
      <c r="R123" s="118">
        <f t="shared" si="9"/>
        <v>3</v>
      </c>
      <c r="S123" s="122"/>
      <c r="T123" s="120"/>
      <c r="U123" s="121"/>
    </row>
    <row r="124" spans="1:26" x14ac:dyDescent="0.3">
      <c r="A124" s="8">
        <v>123</v>
      </c>
      <c r="B124" s="8" t="s">
        <v>467</v>
      </c>
      <c r="C124" s="9" t="s">
        <v>157</v>
      </c>
      <c r="D124" s="10" t="s">
        <v>232</v>
      </c>
      <c r="E124" s="30">
        <v>19014</v>
      </c>
      <c r="F124" s="12" t="s">
        <v>4</v>
      </c>
      <c r="G124" s="12" t="s">
        <v>16</v>
      </c>
      <c r="H124" s="12" t="s">
        <v>502</v>
      </c>
      <c r="I124" s="173" t="s">
        <v>511</v>
      </c>
      <c r="J124" s="15">
        <v>3</v>
      </c>
      <c r="K124" s="151" t="s">
        <v>496</v>
      </c>
      <c r="L124" s="9" t="s">
        <v>258</v>
      </c>
      <c r="M124" s="160"/>
      <c r="N124" s="9" t="s">
        <v>258</v>
      </c>
      <c r="O124" s="9"/>
      <c r="Q124" s="118" t="str">
        <f t="shared" si="8"/>
        <v/>
      </c>
      <c r="R124" s="118">
        <f t="shared" si="9"/>
        <v>3</v>
      </c>
      <c r="S124" s="122"/>
      <c r="T124" s="120"/>
      <c r="U124" s="121"/>
    </row>
    <row r="125" spans="1:26" s="109" customFormat="1" ht="15" thickBot="1" x14ac:dyDescent="0.35">
      <c r="A125" s="103"/>
      <c r="B125" s="103"/>
      <c r="C125" s="101"/>
      <c r="D125" s="104"/>
      <c r="E125" s="105"/>
      <c r="F125" s="106"/>
      <c r="G125" s="106"/>
      <c r="H125" s="106"/>
      <c r="I125" s="101"/>
      <c r="J125" s="106"/>
      <c r="K125" s="107"/>
      <c r="L125" s="101"/>
      <c r="M125" s="161"/>
      <c r="N125" s="101"/>
      <c r="O125" s="101"/>
      <c r="Q125" s="120"/>
      <c r="R125" s="120"/>
      <c r="S125" s="122"/>
      <c r="T125" s="120"/>
      <c r="U125" s="127"/>
      <c r="V125" s="102"/>
      <c r="W125" s="102"/>
      <c r="X125" s="102"/>
      <c r="Y125" s="102"/>
    </row>
    <row r="126" spans="1:26" ht="15" thickBot="1" x14ac:dyDescent="0.35">
      <c r="J126" s="39">
        <f>SUM(J2:J124)</f>
        <v>425</v>
      </c>
      <c r="Q126" s="116">
        <f>SUM(Q2:Q124)</f>
        <v>231</v>
      </c>
      <c r="R126" s="116">
        <f>SUM(R2:R124)</f>
        <v>194</v>
      </c>
      <c r="S126" s="122"/>
      <c r="T126" s="120"/>
      <c r="U126" s="121"/>
    </row>
    <row r="127" spans="1:26" ht="15" thickBot="1" x14ac:dyDescent="0.35">
      <c r="C127" s="43"/>
      <c r="D127" s="46"/>
      <c r="J127" s="40"/>
      <c r="Q127" s="117">
        <v>1</v>
      </c>
      <c r="R127" s="117"/>
      <c r="S127" s="122"/>
      <c r="T127" s="120"/>
      <c r="U127" s="121"/>
    </row>
    <row r="128" spans="1:26" s="64" customFormat="1" ht="15" thickBot="1" x14ac:dyDescent="0.35">
      <c r="A128" s="42" t="s">
        <v>467</v>
      </c>
      <c r="B128" s="43">
        <f>+COUNTIF(B2:B124,A128)</f>
        <v>123</v>
      </c>
      <c r="C128" s="47">
        <f>+COUNTIF(C2:C124,D128)</f>
        <v>85</v>
      </c>
      <c r="D128" s="48" t="s">
        <v>8</v>
      </c>
      <c r="E128"/>
      <c r="F128" s="42" t="s">
        <v>188</v>
      </c>
      <c r="G128" s="43">
        <f>+COUNTIF(G2:G124,F128)</f>
        <v>0</v>
      </c>
      <c r="H128" s="43"/>
      <c r="I128" s="38"/>
      <c r="J128" s="39">
        <f>+J126+J127</f>
        <v>425</v>
      </c>
      <c r="K128"/>
      <c r="L128"/>
      <c r="M128" s="162"/>
      <c r="N128"/>
      <c r="O128"/>
      <c r="P128" s="69"/>
      <c r="Q128" s="116">
        <f>+Q126+Q127</f>
        <v>232</v>
      </c>
      <c r="R128" s="116">
        <f>+R126+R127</f>
        <v>194</v>
      </c>
      <c r="S128" s="122"/>
      <c r="T128" s="120"/>
      <c r="U128" s="121"/>
      <c r="Z128"/>
    </row>
    <row r="129" spans="1:26" s="64" customFormat="1" x14ac:dyDescent="0.3">
      <c r="A129" s="42" t="s">
        <v>468</v>
      </c>
      <c r="B129" s="43">
        <f>+COUNTIF(B2:B124,A129)</f>
        <v>0</v>
      </c>
      <c r="C129" s="47">
        <f>+COUNTIF(C2:C124,D129)</f>
        <v>38</v>
      </c>
      <c r="D129" s="48" t="s">
        <v>157</v>
      </c>
      <c r="E129"/>
      <c r="F129" s="42" t="s">
        <v>12</v>
      </c>
      <c r="G129" s="43">
        <f>+COUNTIF(G2:G124,F129)</f>
        <v>0</v>
      </c>
      <c r="H129" s="43"/>
      <c r="I129" s="38"/>
      <c r="J129"/>
      <c r="K129"/>
      <c r="L129"/>
      <c r="M129" s="162"/>
      <c r="N129"/>
      <c r="O129"/>
      <c r="P129" s="69"/>
      <c r="Q129" s="120"/>
      <c r="R129" s="120"/>
      <c r="S129" s="122"/>
      <c r="T129" s="120"/>
      <c r="U129" s="121"/>
      <c r="Z129"/>
    </row>
    <row r="130" spans="1:26" s="64" customFormat="1" x14ac:dyDescent="0.3">
      <c r="A130" s="36"/>
      <c r="B130" s="36"/>
      <c r="C130" s="47"/>
      <c r="D130" s="50" t="s">
        <v>487</v>
      </c>
      <c r="E130"/>
      <c r="F130" s="42" t="s">
        <v>51</v>
      </c>
      <c r="G130" s="43">
        <f>+COUNTIF(G2:G124,F130)</f>
        <v>34</v>
      </c>
      <c r="H130" s="43"/>
      <c r="I130" s="181"/>
      <c r="J130" s="182"/>
      <c r="K130"/>
      <c r="L130"/>
      <c r="M130" s="162"/>
      <c r="N130"/>
      <c r="O130"/>
      <c r="P130" s="69"/>
      <c r="Q130" s="128">
        <f>+Q128/J128</f>
        <v>0.54588235294117649</v>
      </c>
      <c r="R130" s="128">
        <f>+R128/J128</f>
        <v>0.45647058823529413</v>
      </c>
      <c r="S130" s="122"/>
      <c r="T130" s="120"/>
      <c r="U130" s="121"/>
      <c r="Z130"/>
    </row>
    <row r="131" spans="1:26" s="64" customFormat="1" ht="15" thickBot="1" x14ac:dyDescent="0.35">
      <c r="A131" s="44"/>
      <c r="B131" s="44"/>
      <c r="C131" s="37"/>
      <c r="D131" s="50" t="s">
        <v>488</v>
      </c>
      <c r="E131"/>
      <c r="F131" s="42" t="s">
        <v>16</v>
      </c>
      <c r="G131" s="43">
        <f>+COUNTIF(G2:G124,F131)</f>
        <v>89</v>
      </c>
      <c r="H131" s="72"/>
      <c r="I131" s="181"/>
      <c r="J131" s="182"/>
      <c r="K131"/>
      <c r="L131"/>
      <c r="M131" s="162"/>
      <c r="N131"/>
      <c r="O131"/>
      <c r="P131" s="69"/>
      <c r="Q131" s="113"/>
      <c r="R131" s="113"/>
      <c r="S131" s="115"/>
      <c r="T131" s="113"/>
      <c r="U131" s="114"/>
      <c r="Z131"/>
    </row>
    <row r="132" spans="1:26" s="64" customFormat="1" ht="15" thickBot="1" x14ac:dyDescent="0.35">
      <c r="A132" s="36"/>
      <c r="B132" s="36"/>
      <c r="C132" s="49">
        <f>SUBTOTAL(9,C127:C130)</f>
        <v>123</v>
      </c>
      <c r="D132"/>
      <c r="E132"/>
      <c r="F132" s="44"/>
      <c r="G132" s="45">
        <f>SUBTOTAL(9,G128:G131)</f>
        <v>123</v>
      </c>
      <c r="H132" s="72"/>
      <c r="I132" s="38"/>
      <c r="J132"/>
      <c r="K132"/>
      <c r="L132"/>
      <c r="M132" s="162"/>
      <c r="N132"/>
      <c r="O132"/>
      <c r="P132" s="69"/>
      <c r="Q132" s="113"/>
      <c r="R132" s="113"/>
      <c r="S132" s="115"/>
      <c r="T132" s="113"/>
      <c r="U132" s="114"/>
      <c r="Z132"/>
    </row>
    <row r="134" spans="1:26" s="64" customFormat="1" x14ac:dyDescent="0.3">
      <c r="A134" s="36"/>
      <c r="B134" s="36"/>
      <c r="C134" s="37"/>
      <c r="D134"/>
      <c r="E134"/>
      <c r="F134"/>
      <c r="G134"/>
      <c r="H134" s="42" t="s">
        <v>13</v>
      </c>
      <c r="I134" s="43">
        <f>+COUNTIF(I2:I124,H134)</f>
        <v>94</v>
      </c>
      <c r="J134"/>
      <c r="K134"/>
      <c r="L134"/>
      <c r="M134" s="162"/>
      <c r="N134"/>
      <c r="O134"/>
      <c r="P134" s="69"/>
      <c r="Q134" s="113"/>
      <c r="R134" s="113"/>
      <c r="S134" s="115"/>
      <c r="T134" s="113"/>
      <c r="U134" s="114"/>
      <c r="Z134"/>
    </row>
    <row r="135" spans="1:26" s="64" customFormat="1" ht="15" thickBot="1" x14ac:dyDescent="0.35">
      <c r="A135" s="36"/>
      <c r="B135" s="36"/>
      <c r="C135" s="37"/>
      <c r="D135"/>
      <c r="E135"/>
      <c r="F135"/>
      <c r="G135"/>
      <c r="H135" s="42" t="s">
        <v>178</v>
      </c>
      <c r="I135" s="43">
        <f>+COUNTIF(I2:I124,H135)</f>
        <v>13</v>
      </c>
      <c r="J135"/>
      <c r="K135"/>
      <c r="L135"/>
      <c r="M135" s="162"/>
      <c r="N135"/>
      <c r="O135"/>
      <c r="P135" s="69"/>
      <c r="Q135" s="113"/>
      <c r="R135" s="113"/>
      <c r="S135" s="115"/>
      <c r="T135" s="113"/>
      <c r="U135" s="114"/>
      <c r="Z135"/>
    </row>
    <row r="136" spans="1:26" s="64" customFormat="1" ht="15" thickBot="1" x14ac:dyDescent="0.35">
      <c r="A136" s="36"/>
      <c r="B136" s="36"/>
      <c r="C136" s="37"/>
      <c r="D136"/>
      <c r="E136"/>
      <c r="F136"/>
      <c r="G136"/>
      <c r="H136" s="42"/>
      <c r="I136" s="45">
        <f>SUBTOTAL(9,I134:I135)</f>
        <v>107</v>
      </c>
      <c r="J136"/>
      <c r="K136"/>
      <c r="L136"/>
      <c r="M136" s="162"/>
      <c r="N136"/>
      <c r="O136"/>
      <c r="P136" s="69"/>
      <c r="Q136" s="113"/>
      <c r="R136" s="113"/>
      <c r="S136" s="115"/>
      <c r="T136" s="113"/>
      <c r="U136" s="114"/>
      <c r="Z136"/>
    </row>
    <row r="137" spans="1:26" s="64" customFormat="1" x14ac:dyDescent="0.3">
      <c r="A137" s="36"/>
      <c r="B137" s="36"/>
      <c r="C137" s="37"/>
      <c r="D137"/>
      <c r="E137"/>
      <c r="F137"/>
      <c r="G137"/>
      <c r="H137" s="42"/>
      <c r="I137" s="43"/>
      <c r="J137" s="152" t="s">
        <v>256</v>
      </c>
      <c r="K137" s="153">
        <f>+COUNTIF(K1:K124,J137)</f>
        <v>5</v>
      </c>
      <c r="L137"/>
      <c r="M137" s="162"/>
      <c r="N137"/>
      <c r="O137"/>
      <c r="P137" s="69"/>
      <c r="Q137" s="113"/>
      <c r="R137" s="113"/>
      <c r="S137" s="115"/>
      <c r="T137" s="113"/>
      <c r="U137" s="114"/>
      <c r="Z137"/>
    </row>
    <row r="138" spans="1:26" s="64" customFormat="1" x14ac:dyDescent="0.3">
      <c r="A138" s="36"/>
      <c r="B138" s="36"/>
      <c r="C138" s="37"/>
      <c r="D138"/>
      <c r="E138"/>
      <c r="F138"/>
      <c r="G138"/>
      <c r="H138" s="44"/>
      <c r="I138" s="38"/>
      <c r="J138" s="152" t="s">
        <v>261</v>
      </c>
      <c r="K138" s="153">
        <f>+COUNTIF(K2:K124,J138)</f>
        <v>50</v>
      </c>
      <c r="L138"/>
      <c r="M138" s="162"/>
      <c r="N138"/>
      <c r="O138"/>
      <c r="P138" s="69"/>
      <c r="Q138" s="113"/>
      <c r="R138" s="113"/>
      <c r="S138" s="115"/>
      <c r="T138" s="113"/>
      <c r="U138" s="114"/>
      <c r="Z138"/>
    </row>
    <row r="139" spans="1:26" s="64" customFormat="1" x14ac:dyDescent="0.3">
      <c r="A139" s="36"/>
      <c r="B139" s="36"/>
      <c r="C139" s="37"/>
      <c r="D139"/>
      <c r="E139"/>
      <c r="F139"/>
      <c r="G139"/>
      <c r="H139" s="72"/>
      <c r="I139" s="38"/>
      <c r="J139" s="152" t="s">
        <v>262</v>
      </c>
      <c r="K139" s="153">
        <f>+COUNTIF(K2:K124,J139)</f>
        <v>8</v>
      </c>
      <c r="L139"/>
      <c r="M139" s="162"/>
      <c r="N139"/>
      <c r="O139"/>
      <c r="P139" s="69"/>
      <c r="Q139" s="113"/>
      <c r="R139" s="113"/>
      <c r="S139" s="115"/>
      <c r="T139" s="113"/>
      <c r="U139" s="114"/>
      <c r="Z139"/>
    </row>
    <row r="140" spans="1:26" s="64" customFormat="1" x14ac:dyDescent="0.3">
      <c r="A140" s="36"/>
      <c r="B140" s="36"/>
      <c r="C140" s="37"/>
      <c r="D140"/>
      <c r="E140"/>
      <c r="F140"/>
      <c r="G140"/>
      <c r="H140" s="72"/>
      <c r="I140" s="38"/>
      <c r="J140" s="152" t="s">
        <v>496</v>
      </c>
      <c r="K140" s="153">
        <f>+COUNTIF(K2:K124,J140)</f>
        <v>29</v>
      </c>
      <c r="L140"/>
      <c r="M140" s="162"/>
      <c r="N140"/>
      <c r="O140"/>
      <c r="P140" s="69"/>
      <c r="Q140" s="113"/>
      <c r="R140" s="113"/>
      <c r="S140" s="115"/>
      <c r="T140" s="113"/>
      <c r="U140" s="114"/>
      <c r="Z140"/>
    </row>
    <row r="141" spans="1:26" s="64" customFormat="1" x14ac:dyDescent="0.3">
      <c r="A141" s="36"/>
      <c r="B141" s="36"/>
      <c r="C141" s="37"/>
      <c r="D141"/>
      <c r="E141"/>
      <c r="F141"/>
      <c r="G141"/>
      <c r="H141" s="72"/>
      <c r="I141" s="38"/>
      <c r="J141" s="152" t="s">
        <v>260</v>
      </c>
      <c r="K141" s="153">
        <f>+COUNTIF(K2:K124,J141)</f>
        <v>16</v>
      </c>
      <c r="L141"/>
      <c r="M141" s="162"/>
      <c r="N141"/>
      <c r="O141"/>
      <c r="P141" s="69"/>
      <c r="Q141" s="113"/>
      <c r="R141" s="113"/>
      <c r="S141" s="115"/>
      <c r="T141" s="113"/>
      <c r="U141" s="114"/>
      <c r="Z141"/>
    </row>
    <row r="142" spans="1:26" s="64" customFormat="1" ht="15" thickBot="1" x14ac:dyDescent="0.35">
      <c r="A142" s="36"/>
      <c r="B142" s="36"/>
      <c r="C142" s="37"/>
      <c r="D142"/>
      <c r="E142"/>
      <c r="F142"/>
      <c r="G142"/>
      <c r="H142" s="72"/>
      <c r="I142" s="38"/>
      <c r="J142" s="152" t="s">
        <v>465</v>
      </c>
      <c r="K142" s="153">
        <f>+COUNTIF(K2:K124,J142)</f>
        <v>2</v>
      </c>
      <c r="L142"/>
      <c r="M142" s="162"/>
      <c r="N142"/>
      <c r="O142"/>
      <c r="P142" s="69"/>
      <c r="Q142" s="113"/>
      <c r="R142" s="113"/>
      <c r="S142" s="115"/>
      <c r="T142" s="113"/>
      <c r="U142" s="114"/>
      <c r="Z142"/>
    </row>
    <row r="143" spans="1:26" s="64" customFormat="1" ht="15" thickBot="1" x14ac:dyDescent="0.35">
      <c r="A143" s="36"/>
      <c r="B143" s="36"/>
      <c r="C143" s="37"/>
      <c r="D143"/>
      <c r="E143"/>
      <c r="F143"/>
      <c r="G143"/>
      <c r="H143" s="72"/>
      <c r="I143" s="38"/>
      <c r="J143" s="154"/>
      <c r="K143" s="155">
        <f>SUBTOTAL(9,K137:K142)</f>
        <v>110</v>
      </c>
      <c r="L143"/>
      <c r="M143" s="162"/>
      <c r="N143"/>
      <c r="O143"/>
      <c r="P143" s="69"/>
      <c r="Q143" s="113"/>
      <c r="R143" s="113"/>
      <c r="S143" s="115"/>
      <c r="T143" s="113"/>
      <c r="U143" s="114"/>
      <c r="Z143"/>
    </row>
  </sheetData>
  <autoFilter ref="A1:Z124" xr:uid="{A8C98864-80C8-48FD-85D7-1DB8590F376F}">
    <sortState ref="A2:Z124">
      <sortCondition ref="D1:D124"/>
    </sortState>
  </autoFilter>
  <printOptions gridLines="1"/>
  <pageMargins left="0.70866141732283472" right="0.70866141732283472" top="0.74803149606299213" bottom="0.74803149606299213" header="0.31496062992125984" footer="0.31496062992125984"/>
  <pageSetup paperSize="9" scale="43" fitToHeight="0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5AC23-0720-4C7E-9369-5A3B69789EA6}">
  <sheetPr>
    <pageSetUpPr fitToPage="1"/>
  </sheetPr>
  <dimension ref="A1:Z117"/>
  <sheetViews>
    <sheetView topLeftCell="A76" zoomScale="90" zoomScaleNormal="90" workbookViewId="0">
      <selection activeCell="D2" sqref="D2:E98"/>
    </sheetView>
  </sheetViews>
  <sheetFormatPr defaultRowHeight="14.4" x14ac:dyDescent="0.3"/>
  <cols>
    <col min="1" max="1" width="6.5546875" style="36" bestFit="1" customWidth="1"/>
    <col min="2" max="2" width="6.5546875" style="36" customWidth="1"/>
    <col min="3" max="3" width="11.6640625" style="37" customWidth="1"/>
    <col min="4" max="4" width="44.88671875" customWidth="1"/>
    <col min="7" max="7" width="11.21875" bestFit="1" customWidth="1"/>
    <col min="8" max="8" width="13.44140625" style="72" customWidth="1"/>
    <col min="9" max="9" width="11.6640625" style="38" bestFit="1" customWidth="1"/>
    <col min="10" max="10" width="10.21875" customWidth="1"/>
    <col min="11" max="11" width="10.44140625" customWidth="1"/>
    <col min="13" max="13" width="10.88671875" style="162" customWidth="1"/>
    <col min="14" max="14" width="20.109375" bestFit="1" customWidth="1"/>
    <col min="16" max="16" width="50.109375" style="69" bestFit="1" customWidth="1"/>
    <col min="17" max="17" width="10.44140625" style="113" bestFit="1" customWidth="1"/>
    <col min="18" max="18" width="8.88671875" style="113"/>
    <col min="19" max="19" width="61.109375" style="115" bestFit="1" customWidth="1"/>
    <col min="20" max="20" width="30.33203125" style="113" bestFit="1" customWidth="1"/>
    <col min="21" max="21" width="4.6640625" style="114" bestFit="1" customWidth="1"/>
    <col min="22" max="25" width="8.88671875" style="64"/>
  </cols>
  <sheetData>
    <row r="1" spans="1:26" ht="52.8" x14ac:dyDescent="0.3">
      <c r="A1" s="1" t="s">
        <v>0</v>
      </c>
      <c r="B1" s="1" t="s">
        <v>466</v>
      </c>
      <c r="C1" s="2" t="s">
        <v>1</v>
      </c>
      <c r="D1" s="3" t="s">
        <v>2</v>
      </c>
      <c r="E1" s="4" t="s">
        <v>3</v>
      </c>
      <c r="F1" s="5" t="s">
        <v>4</v>
      </c>
      <c r="G1" s="5" t="s">
        <v>5</v>
      </c>
      <c r="H1" s="71" t="s">
        <v>504</v>
      </c>
      <c r="I1" s="6" t="s">
        <v>6</v>
      </c>
      <c r="J1" s="7" t="s">
        <v>7</v>
      </c>
      <c r="K1" s="65" t="s">
        <v>252</v>
      </c>
      <c r="L1" s="6" t="s">
        <v>253</v>
      </c>
      <c r="M1" s="159" t="s">
        <v>499</v>
      </c>
      <c r="N1" s="6" t="s">
        <v>254</v>
      </c>
      <c r="O1" s="157" t="s">
        <v>497</v>
      </c>
      <c r="P1" s="66" t="s">
        <v>255</v>
      </c>
      <c r="Q1" s="111" t="s">
        <v>469</v>
      </c>
      <c r="R1" s="111" t="s">
        <v>470</v>
      </c>
      <c r="S1" s="112" t="s">
        <v>471</v>
      </c>
    </row>
    <row r="2" spans="1:26" x14ac:dyDescent="0.3">
      <c r="A2" s="8">
        <v>216</v>
      </c>
      <c r="B2" s="8" t="s">
        <v>468</v>
      </c>
      <c r="C2" s="9" t="s">
        <v>8</v>
      </c>
      <c r="D2" s="10" t="s">
        <v>450</v>
      </c>
      <c r="E2" s="11" t="s">
        <v>451</v>
      </c>
      <c r="F2" s="12" t="s">
        <v>4</v>
      </c>
      <c r="G2" s="12" t="s">
        <v>51</v>
      </c>
      <c r="H2" s="12" t="s">
        <v>506</v>
      </c>
      <c r="I2" s="9" t="s">
        <v>178</v>
      </c>
      <c r="J2" s="12">
        <v>3</v>
      </c>
      <c r="K2" s="68" t="s">
        <v>260</v>
      </c>
      <c r="L2" s="9" t="s">
        <v>258</v>
      </c>
      <c r="M2" s="160"/>
      <c r="N2" s="9" t="s">
        <v>258</v>
      </c>
      <c r="O2" s="9"/>
      <c r="Q2" s="118" t="str">
        <f t="shared" ref="Q2" si="0">IF(I2="SI",J2,"")</f>
        <v/>
      </c>
      <c r="R2" s="118">
        <f t="shared" ref="R2" si="1">IF(I2="SI","",J2)</f>
        <v>3</v>
      </c>
      <c r="S2" s="122"/>
      <c r="T2" s="120"/>
      <c r="U2" s="120"/>
      <c r="V2" s="63"/>
      <c r="Z2" s="64"/>
    </row>
    <row r="3" spans="1:26" x14ac:dyDescent="0.3">
      <c r="A3" s="8">
        <v>124</v>
      </c>
      <c r="B3" s="8" t="s">
        <v>468</v>
      </c>
      <c r="C3" s="9" t="s">
        <v>8</v>
      </c>
      <c r="D3" s="10" t="s">
        <v>264</v>
      </c>
      <c r="E3" s="30" t="s">
        <v>265</v>
      </c>
      <c r="F3" s="12" t="s">
        <v>4</v>
      </c>
      <c r="G3" s="13" t="s">
        <v>16</v>
      </c>
      <c r="H3" s="13"/>
      <c r="I3" s="9" t="s">
        <v>13</v>
      </c>
      <c r="J3" s="12">
        <v>3</v>
      </c>
      <c r="K3" s="67" t="s">
        <v>256</v>
      </c>
      <c r="L3" s="9" t="s">
        <v>257</v>
      </c>
      <c r="M3" s="160"/>
      <c r="N3" s="9" t="s">
        <v>258</v>
      </c>
      <c r="O3" s="9"/>
      <c r="P3" s="10" t="s">
        <v>259</v>
      </c>
      <c r="Q3" s="118">
        <f>IF(I3="SI",J3,"")</f>
        <v>3</v>
      </c>
      <c r="R3" s="118" t="str">
        <f>IF(I3="SI","",J3)</f>
        <v/>
      </c>
      <c r="S3" s="122"/>
      <c r="T3" s="120"/>
      <c r="U3" s="120"/>
      <c r="V3" s="63"/>
      <c r="Z3" s="64"/>
    </row>
    <row r="4" spans="1:26" x14ac:dyDescent="0.3">
      <c r="A4" s="8">
        <v>125</v>
      </c>
      <c r="B4" s="8" t="s">
        <v>468</v>
      </c>
      <c r="C4" s="9" t="s">
        <v>8</v>
      </c>
      <c r="D4" s="10" t="s">
        <v>266</v>
      </c>
      <c r="E4" s="30" t="s">
        <v>267</v>
      </c>
      <c r="F4" s="12" t="s">
        <v>4</v>
      </c>
      <c r="G4" s="12" t="s">
        <v>16</v>
      </c>
      <c r="H4" s="12"/>
      <c r="I4" s="9" t="s">
        <v>13</v>
      </c>
      <c r="J4" s="12">
        <v>2</v>
      </c>
      <c r="K4" s="67" t="s">
        <v>256</v>
      </c>
      <c r="L4" s="9" t="s">
        <v>257</v>
      </c>
      <c r="M4" s="160"/>
      <c r="N4" s="9" t="s">
        <v>258</v>
      </c>
      <c r="O4" s="9"/>
      <c r="P4" s="10" t="s">
        <v>259</v>
      </c>
      <c r="Q4" s="118">
        <f>IF(I4="SI",J4,"")</f>
        <v>2</v>
      </c>
      <c r="R4" s="118" t="str">
        <f>IF(I4="SI","",J4)</f>
        <v/>
      </c>
      <c r="S4" s="122"/>
      <c r="T4" s="120"/>
      <c r="U4" s="120"/>
      <c r="V4" s="63"/>
      <c r="Z4" s="64"/>
    </row>
    <row r="5" spans="1:26" x14ac:dyDescent="0.3">
      <c r="A5" s="8">
        <v>126</v>
      </c>
      <c r="B5" s="8" t="s">
        <v>468</v>
      </c>
      <c r="C5" s="9" t="s">
        <v>8</v>
      </c>
      <c r="D5" s="10" t="s">
        <v>268</v>
      </c>
      <c r="E5" s="30" t="s">
        <v>269</v>
      </c>
      <c r="F5" s="12" t="s">
        <v>4</v>
      </c>
      <c r="G5" s="12" t="s">
        <v>16</v>
      </c>
      <c r="H5" s="12"/>
      <c r="I5" s="9" t="s">
        <v>13</v>
      </c>
      <c r="J5" s="12">
        <v>3</v>
      </c>
      <c r="K5" s="151" t="s">
        <v>496</v>
      </c>
      <c r="L5" s="9" t="s">
        <v>258</v>
      </c>
      <c r="M5" s="160"/>
      <c r="N5" s="9" t="s">
        <v>258</v>
      </c>
      <c r="O5" s="9"/>
      <c r="P5" s="10"/>
      <c r="Q5" s="118">
        <f t="shared" ref="Q5:Q20" si="2">IF(I5="SI",J5,"")</f>
        <v>3</v>
      </c>
      <c r="R5" s="118" t="str">
        <f t="shared" ref="R5:R20" si="3">IF(I5="SI","",J5)</f>
        <v/>
      </c>
      <c r="S5" s="122"/>
      <c r="T5" s="120"/>
      <c r="U5" s="120"/>
      <c r="V5" s="63"/>
      <c r="Z5" s="64"/>
    </row>
    <row r="6" spans="1:26" x14ac:dyDescent="0.3">
      <c r="A6" s="8">
        <v>127</v>
      </c>
      <c r="B6" s="8" t="s">
        <v>468</v>
      </c>
      <c r="C6" s="9" t="s">
        <v>8</v>
      </c>
      <c r="D6" s="10" t="s">
        <v>270</v>
      </c>
      <c r="E6" s="30" t="s">
        <v>271</v>
      </c>
      <c r="F6" s="12" t="s">
        <v>4</v>
      </c>
      <c r="G6" s="12" t="s">
        <v>16</v>
      </c>
      <c r="H6" s="12"/>
      <c r="I6" s="9" t="s">
        <v>13</v>
      </c>
      <c r="J6" s="12">
        <v>2</v>
      </c>
      <c r="K6" s="151" t="s">
        <v>496</v>
      </c>
      <c r="L6" s="9" t="s">
        <v>258</v>
      </c>
      <c r="M6" s="160"/>
      <c r="N6" s="9" t="s">
        <v>258</v>
      </c>
      <c r="O6" s="9"/>
      <c r="P6" s="10"/>
      <c r="Q6" s="118">
        <f t="shared" si="2"/>
        <v>2</v>
      </c>
      <c r="R6" s="118" t="str">
        <f t="shared" si="3"/>
        <v/>
      </c>
      <c r="S6" s="122"/>
      <c r="T6" s="120"/>
      <c r="U6" s="120"/>
      <c r="V6" s="63"/>
      <c r="Z6" s="64"/>
    </row>
    <row r="7" spans="1:26" x14ac:dyDescent="0.3">
      <c r="A7" s="8">
        <v>128</v>
      </c>
      <c r="B7" s="8" t="s">
        <v>468</v>
      </c>
      <c r="C7" s="9" t="s">
        <v>8</v>
      </c>
      <c r="D7" s="10" t="s">
        <v>272</v>
      </c>
      <c r="E7" s="30" t="s">
        <v>273</v>
      </c>
      <c r="F7" s="12" t="s">
        <v>4</v>
      </c>
      <c r="G7" s="12" t="s">
        <v>16</v>
      </c>
      <c r="H7" s="12"/>
      <c r="I7" s="9" t="s">
        <v>13</v>
      </c>
      <c r="J7" s="12">
        <v>4</v>
      </c>
      <c r="K7" s="151" t="s">
        <v>496</v>
      </c>
      <c r="L7" s="9" t="s">
        <v>258</v>
      </c>
      <c r="M7" s="160"/>
      <c r="N7" s="9" t="s">
        <v>258</v>
      </c>
      <c r="O7" s="9"/>
      <c r="P7" s="10"/>
      <c r="Q7" s="118">
        <f t="shared" si="2"/>
        <v>4</v>
      </c>
      <c r="R7" s="118" t="str">
        <f t="shared" si="3"/>
        <v/>
      </c>
      <c r="S7" s="122"/>
      <c r="T7" s="120"/>
      <c r="U7" s="120"/>
      <c r="V7" s="63"/>
      <c r="Z7" s="64"/>
    </row>
    <row r="8" spans="1:26" x14ac:dyDescent="0.3">
      <c r="A8" s="8">
        <v>129</v>
      </c>
      <c r="B8" s="8" t="s">
        <v>468</v>
      </c>
      <c r="C8" s="9" t="s">
        <v>8</v>
      </c>
      <c r="D8" s="10" t="s">
        <v>274</v>
      </c>
      <c r="E8" s="30" t="s">
        <v>275</v>
      </c>
      <c r="F8" s="12" t="s">
        <v>4</v>
      </c>
      <c r="G8" s="13" t="s">
        <v>51</v>
      </c>
      <c r="H8" s="12" t="s">
        <v>506</v>
      </c>
      <c r="I8" s="9" t="s">
        <v>13</v>
      </c>
      <c r="J8" s="15">
        <v>4</v>
      </c>
      <c r="K8" s="151" t="s">
        <v>496</v>
      </c>
      <c r="L8" s="9" t="s">
        <v>258</v>
      </c>
      <c r="M8" s="160"/>
      <c r="N8" s="9" t="s">
        <v>258</v>
      </c>
      <c r="O8" s="9"/>
      <c r="P8" s="10"/>
      <c r="Q8" s="118">
        <f t="shared" si="2"/>
        <v>4</v>
      </c>
      <c r="R8" s="118" t="str">
        <f t="shared" si="3"/>
        <v/>
      </c>
      <c r="S8" s="122"/>
      <c r="T8" s="120"/>
      <c r="U8" s="120"/>
      <c r="V8" s="63"/>
      <c r="Z8" s="64"/>
    </row>
    <row r="9" spans="1:26" x14ac:dyDescent="0.3">
      <c r="A9" s="22">
        <v>130</v>
      </c>
      <c r="B9" s="22" t="s">
        <v>468</v>
      </c>
      <c r="C9" s="23" t="s">
        <v>8</v>
      </c>
      <c r="D9" s="24" t="s">
        <v>276</v>
      </c>
      <c r="E9" s="30" t="s">
        <v>277</v>
      </c>
      <c r="F9" s="17" t="s">
        <v>4</v>
      </c>
      <c r="G9" s="167" t="s">
        <v>51</v>
      </c>
      <c r="H9" s="17" t="s">
        <v>506</v>
      </c>
      <c r="I9" s="23" t="s">
        <v>13</v>
      </c>
      <c r="J9" s="168">
        <v>2</v>
      </c>
      <c r="K9" s="151" t="s">
        <v>496</v>
      </c>
      <c r="L9" s="9" t="s">
        <v>258</v>
      </c>
      <c r="M9" s="160"/>
      <c r="N9" s="9" t="s">
        <v>258</v>
      </c>
      <c r="O9" s="9"/>
      <c r="P9" s="10"/>
      <c r="Q9" s="118">
        <f t="shared" si="2"/>
        <v>2</v>
      </c>
      <c r="R9" s="118" t="str">
        <f t="shared" si="3"/>
        <v/>
      </c>
      <c r="S9" s="122"/>
      <c r="T9" s="120"/>
      <c r="U9" s="120"/>
      <c r="V9" s="63"/>
      <c r="Z9" s="64"/>
    </row>
    <row r="10" spans="1:26" x14ac:dyDescent="0.3">
      <c r="A10" s="22">
        <v>131</v>
      </c>
      <c r="B10" s="22" t="s">
        <v>468</v>
      </c>
      <c r="C10" s="23" t="s">
        <v>8</v>
      </c>
      <c r="D10" s="24" t="s">
        <v>278</v>
      </c>
      <c r="E10" s="30" t="s">
        <v>277</v>
      </c>
      <c r="F10" s="17" t="s">
        <v>4</v>
      </c>
      <c r="G10" s="17" t="s">
        <v>51</v>
      </c>
      <c r="H10" s="17" t="s">
        <v>506</v>
      </c>
      <c r="I10" s="23" t="s">
        <v>13</v>
      </c>
      <c r="J10" s="17">
        <v>5</v>
      </c>
      <c r="K10" s="151" t="s">
        <v>496</v>
      </c>
      <c r="L10" s="9" t="s">
        <v>258</v>
      </c>
      <c r="M10" s="160"/>
      <c r="N10" s="9" t="s">
        <v>258</v>
      </c>
      <c r="O10" s="9"/>
      <c r="P10" s="10"/>
      <c r="Q10" s="118">
        <f t="shared" si="2"/>
        <v>5</v>
      </c>
      <c r="R10" s="118" t="str">
        <f t="shared" si="3"/>
        <v/>
      </c>
      <c r="S10" s="122"/>
      <c r="T10" s="120"/>
      <c r="U10" s="120"/>
      <c r="V10" s="63"/>
      <c r="Z10" s="64"/>
    </row>
    <row r="11" spans="1:26" x14ac:dyDescent="0.3">
      <c r="A11" s="8">
        <v>132</v>
      </c>
      <c r="B11" s="8" t="s">
        <v>468</v>
      </c>
      <c r="C11" s="9" t="s">
        <v>8</v>
      </c>
      <c r="D11" s="10" t="s">
        <v>279</v>
      </c>
      <c r="E11" s="30" t="s">
        <v>280</v>
      </c>
      <c r="F11" s="12" t="s">
        <v>4</v>
      </c>
      <c r="G11" s="12" t="s">
        <v>51</v>
      </c>
      <c r="H11" s="12" t="s">
        <v>506</v>
      </c>
      <c r="I11" s="9" t="s">
        <v>13</v>
      </c>
      <c r="J11" s="12">
        <v>4</v>
      </c>
      <c r="K11" s="68" t="s">
        <v>260</v>
      </c>
      <c r="L11" s="9" t="s">
        <v>258</v>
      </c>
      <c r="M11" s="160"/>
      <c r="N11" s="9" t="s">
        <v>258</v>
      </c>
      <c r="O11" s="9"/>
      <c r="P11" s="10"/>
      <c r="Q11" s="118">
        <f t="shared" si="2"/>
        <v>4</v>
      </c>
      <c r="R11" s="118" t="str">
        <f t="shared" si="3"/>
        <v/>
      </c>
      <c r="S11" s="122"/>
      <c r="T11" s="120"/>
      <c r="U11" s="120"/>
      <c r="V11" s="63"/>
      <c r="Z11" s="64"/>
    </row>
    <row r="12" spans="1:26" x14ac:dyDescent="0.3">
      <c r="A12" s="8">
        <v>133</v>
      </c>
      <c r="B12" s="8" t="s">
        <v>468</v>
      </c>
      <c r="C12" s="9" t="s">
        <v>8</v>
      </c>
      <c r="D12" s="10" t="s">
        <v>281</v>
      </c>
      <c r="E12" s="30" t="s">
        <v>282</v>
      </c>
      <c r="F12" s="12" t="s">
        <v>4</v>
      </c>
      <c r="G12" s="12" t="s">
        <v>51</v>
      </c>
      <c r="H12" s="12" t="s">
        <v>506</v>
      </c>
      <c r="I12" s="9" t="s">
        <v>13</v>
      </c>
      <c r="J12" s="12">
        <v>5</v>
      </c>
      <c r="K12" s="68" t="s">
        <v>260</v>
      </c>
      <c r="L12" s="9" t="s">
        <v>258</v>
      </c>
      <c r="M12" s="160"/>
      <c r="N12" s="9" t="s">
        <v>258</v>
      </c>
      <c r="O12" s="9"/>
      <c r="P12" s="10"/>
      <c r="Q12" s="118">
        <f t="shared" si="2"/>
        <v>5</v>
      </c>
      <c r="R12" s="118" t="str">
        <f t="shared" si="3"/>
        <v/>
      </c>
      <c r="S12" s="122"/>
      <c r="T12" s="120"/>
      <c r="U12" s="120"/>
      <c r="V12" s="63"/>
      <c r="Z12" s="64"/>
    </row>
    <row r="13" spans="1:26" x14ac:dyDescent="0.3">
      <c r="A13" s="8">
        <v>134</v>
      </c>
      <c r="B13" s="8" t="s">
        <v>468</v>
      </c>
      <c r="C13" s="9" t="s">
        <v>8</v>
      </c>
      <c r="D13" s="10" t="s">
        <v>283</v>
      </c>
      <c r="E13" s="30" t="s">
        <v>284</v>
      </c>
      <c r="F13" s="12" t="s">
        <v>4</v>
      </c>
      <c r="G13" s="12" t="s">
        <v>51</v>
      </c>
      <c r="H13" s="12" t="s">
        <v>506</v>
      </c>
      <c r="I13" s="9" t="s">
        <v>13</v>
      </c>
      <c r="J13" s="12">
        <v>3</v>
      </c>
      <c r="K13" s="68" t="s">
        <v>260</v>
      </c>
      <c r="L13" s="9" t="s">
        <v>258</v>
      </c>
      <c r="M13" s="160"/>
      <c r="N13" s="9" t="s">
        <v>258</v>
      </c>
      <c r="O13" s="9"/>
      <c r="P13" s="10"/>
      <c r="Q13" s="118">
        <f t="shared" si="2"/>
        <v>3</v>
      </c>
      <c r="R13" s="118" t="str">
        <f t="shared" si="3"/>
        <v/>
      </c>
      <c r="S13" s="122"/>
      <c r="T13" s="120"/>
      <c r="U13" s="120"/>
      <c r="V13" s="63"/>
      <c r="Z13" s="64"/>
    </row>
    <row r="14" spans="1:26" x14ac:dyDescent="0.3">
      <c r="A14" s="8">
        <v>135</v>
      </c>
      <c r="B14" s="8" t="s">
        <v>468</v>
      </c>
      <c r="C14" s="9" t="s">
        <v>8</v>
      </c>
      <c r="D14" s="10" t="s">
        <v>285</v>
      </c>
      <c r="E14" s="30" t="s">
        <v>286</v>
      </c>
      <c r="F14" s="12" t="s">
        <v>4</v>
      </c>
      <c r="G14" s="12" t="s">
        <v>51</v>
      </c>
      <c r="H14" s="12" t="s">
        <v>506</v>
      </c>
      <c r="I14" s="9" t="s">
        <v>13</v>
      </c>
      <c r="J14" s="12">
        <v>4</v>
      </c>
      <c r="K14" s="68" t="s">
        <v>260</v>
      </c>
      <c r="L14" s="9" t="s">
        <v>258</v>
      </c>
      <c r="M14" s="160"/>
      <c r="N14" s="9" t="s">
        <v>258</v>
      </c>
      <c r="O14" s="9"/>
      <c r="P14" s="10"/>
      <c r="Q14" s="118">
        <f t="shared" si="2"/>
        <v>4</v>
      </c>
      <c r="R14" s="118" t="str">
        <f t="shared" si="3"/>
        <v/>
      </c>
      <c r="S14" s="122"/>
      <c r="T14" s="120"/>
      <c r="U14" s="120"/>
      <c r="V14" s="63"/>
      <c r="Z14" s="64"/>
    </row>
    <row r="15" spans="1:26" x14ac:dyDescent="0.3">
      <c r="A15" s="8">
        <v>136</v>
      </c>
      <c r="B15" s="8" t="s">
        <v>468</v>
      </c>
      <c r="C15" s="9" t="s">
        <v>8</v>
      </c>
      <c r="D15" s="10" t="s">
        <v>287</v>
      </c>
      <c r="E15" s="30" t="s">
        <v>288</v>
      </c>
      <c r="F15" s="12" t="s">
        <v>4</v>
      </c>
      <c r="G15" s="16" t="s">
        <v>16</v>
      </c>
      <c r="H15" s="16"/>
      <c r="I15" s="9" t="s">
        <v>13</v>
      </c>
      <c r="J15" s="12">
        <v>4</v>
      </c>
      <c r="K15" s="68" t="s">
        <v>260</v>
      </c>
      <c r="L15" s="9" t="s">
        <v>258</v>
      </c>
      <c r="M15" s="160"/>
      <c r="N15" s="9" t="s">
        <v>258</v>
      </c>
      <c r="O15" s="9"/>
      <c r="P15" s="10"/>
      <c r="Q15" s="118">
        <f t="shared" si="2"/>
        <v>4</v>
      </c>
      <c r="R15" s="118" t="str">
        <f t="shared" si="3"/>
        <v/>
      </c>
      <c r="S15" s="122"/>
      <c r="T15" s="120"/>
      <c r="U15" s="120"/>
      <c r="V15" s="63"/>
      <c r="Z15" s="64"/>
    </row>
    <row r="16" spans="1:26" x14ac:dyDescent="0.3">
      <c r="A16" s="8">
        <v>137</v>
      </c>
      <c r="B16" s="8" t="s">
        <v>468</v>
      </c>
      <c r="C16" s="9" t="s">
        <v>8</v>
      </c>
      <c r="D16" s="10" t="s">
        <v>289</v>
      </c>
      <c r="E16" s="30" t="s">
        <v>290</v>
      </c>
      <c r="F16" s="12" t="s">
        <v>4</v>
      </c>
      <c r="G16" s="16" t="s">
        <v>51</v>
      </c>
      <c r="H16" s="12" t="s">
        <v>506</v>
      </c>
      <c r="I16" s="9" t="s">
        <v>13</v>
      </c>
      <c r="J16" s="12">
        <v>4</v>
      </c>
      <c r="K16" s="68" t="s">
        <v>260</v>
      </c>
      <c r="L16" s="9" t="s">
        <v>258</v>
      </c>
      <c r="M16" s="160"/>
      <c r="N16" s="9" t="s">
        <v>258</v>
      </c>
      <c r="O16" s="9"/>
      <c r="P16" s="10"/>
      <c r="Q16" s="118">
        <f t="shared" si="2"/>
        <v>4</v>
      </c>
      <c r="R16" s="118" t="str">
        <f t="shared" si="3"/>
        <v/>
      </c>
      <c r="S16" s="122"/>
      <c r="T16" s="120"/>
      <c r="U16" s="120"/>
      <c r="V16" s="63"/>
      <c r="Z16" s="64"/>
    </row>
    <row r="17" spans="1:26" x14ac:dyDescent="0.3">
      <c r="A17" s="8">
        <v>138</v>
      </c>
      <c r="B17" s="8" t="s">
        <v>468</v>
      </c>
      <c r="C17" s="9" t="s">
        <v>8</v>
      </c>
      <c r="D17" s="10" t="s">
        <v>291</v>
      </c>
      <c r="E17" s="30" t="s">
        <v>292</v>
      </c>
      <c r="F17" s="12" t="s">
        <v>4</v>
      </c>
      <c r="G17" s="12" t="s">
        <v>51</v>
      </c>
      <c r="H17" s="12" t="s">
        <v>506</v>
      </c>
      <c r="I17" s="9" t="s">
        <v>13</v>
      </c>
      <c r="J17" s="12">
        <v>4</v>
      </c>
      <c r="K17" s="68" t="s">
        <v>260</v>
      </c>
      <c r="L17" s="9" t="s">
        <v>258</v>
      </c>
      <c r="M17" s="160"/>
      <c r="N17" s="9" t="s">
        <v>258</v>
      </c>
      <c r="O17" s="9"/>
      <c r="P17" s="10"/>
      <c r="Q17" s="118">
        <f t="shared" si="2"/>
        <v>4</v>
      </c>
      <c r="R17" s="118" t="str">
        <f t="shared" si="3"/>
        <v/>
      </c>
      <c r="S17" s="122"/>
      <c r="T17" s="120"/>
      <c r="U17" s="120"/>
      <c r="V17" s="63"/>
      <c r="Z17" s="64"/>
    </row>
    <row r="18" spans="1:26" x14ac:dyDescent="0.3">
      <c r="A18" s="8">
        <v>139</v>
      </c>
      <c r="B18" s="8" t="s">
        <v>468</v>
      </c>
      <c r="C18" s="9" t="s">
        <v>8</v>
      </c>
      <c r="D18" s="10" t="s">
        <v>293</v>
      </c>
      <c r="E18" s="30" t="s">
        <v>294</v>
      </c>
      <c r="F18" s="12" t="s">
        <v>4</v>
      </c>
      <c r="G18" s="12" t="s">
        <v>51</v>
      </c>
      <c r="H18" s="172" t="s">
        <v>505</v>
      </c>
      <c r="I18" s="9" t="s">
        <v>13</v>
      </c>
      <c r="J18" s="12">
        <v>4</v>
      </c>
      <c r="K18" s="68" t="s">
        <v>260</v>
      </c>
      <c r="L18" s="9" t="s">
        <v>258</v>
      </c>
      <c r="M18" s="160"/>
      <c r="N18" s="9" t="s">
        <v>258</v>
      </c>
      <c r="O18" s="9"/>
      <c r="P18" s="10"/>
      <c r="Q18" s="118">
        <f t="shared" si="2"/>
        <v>4</v>
      </c>
      <c r="R18" s="118" t="str">
        <f t="shared" si="3"/>
        <v/>
      </c>
      <c r="S18" s="122"/>
      <c r="T18" s="120"/>
      <c r="U18" s="120"/>
      <c r="V18" s="63"/>
      <c r="Z18" s="64"/>
    </row>
    <row r="19" spans="1:26" x14ac:dyDescent="0.3">
      <c r="A19" s="8">
        <v>140</v>
      </c>
      <c r="B19" s="8" t="s">
        <v>468</v>
      </c>
      <c r="C19" s="9" t="s">
        <v>8</v>
      </c>
      <c r="D19" s="10" t="s">
        <v>295</v>
      </c>
      <c r="E19" s="30" t="s">
        <v>296</v>
      </c>
      <c r="F19" s="12" t="s">
        <v>4</v>
      </c>
      <c r="G19" s="12" t="s">
        <v>51</v>
      </c>
      <c r="H19" s="172" t="s">
        <v>505</v>
      </c>
      <c r="I19" s="9" t="s">
        <v>13</v>
      </c>
      <c r="J19" s="12">
        <v>3</v>
      </c>
      <c r="K19" s="68" t="s">
        <v>260</v>
      </c>
      <c r="L19" s="9" t="s">
        <v>258</v>
      </c>
      <c r="M19" s="160"/>
      <c r="N19" s="9" t="s">
        <v>258</v>
      </c>
      <c r="O19" s="9"/>
      <c r="P19" s="10"/>
      <c r="Q19" s="118">
        <f t="shared" si="2"/>
        <v>3</v>
      </c>
      <c r="R19" s="118" t="str">
        <f t="shared" si="3"/>
        <v/>
      </c>
      <c r="S19" s="122"/>
      <c r="T19" s="120"/>
      <c r="U19" s="120"/>
      <c r="V19" s="63"/>
      <c r="Z19" s="64"/>
    </row>
    <row r="20" spans="1:26" x14ac:dyDescent="0.3">
      <c r="A20" s="8">
        <v>141</v>
      </c>
      <c r="B20" s="8" t="s">
        <v>468</v>
      </c>
      <c r="C20" s="9" t="s">
        <v>8</v>
      </c>
      <c r="D20" s="10" t="s">
        <v>297</v>
      </c>
      <c r="E20" s="30" t="s">
        <v>298</v>
      </c>
      <c r="F20" s="12" t="s">
        <v>4</v>
      </c>
      <c r="G20" s="12" t="s">
        <v>51</v>
      </c>
      <c r="H20" s="172" t="s">
        <v>505</v>
      </c>
      <c r="I20" s="9" t="s">
        <v>13</v>
      </c>
      <c r="J20" s="12">
        <v>4</v>
      </c>
      <c r="K20" s="8" t="s">
        <v>507</v>
      </c>
      <c r="L20" s="9" t="s">
        <v>258</v>
      </c>
      <c r="M20" s="160"/>
      <c r="N20" s="9" t="s">
        <v>258</v>
      </c>
      <c r="O20" s="9"/>
      <c r="P20" s="10"/>
      <c r="Q20" s="118">
        <f t="shared" si="2"/>
        <v>4</v>
      </c>
      <c r="R20" s="118" t="str">
        <f t="shared" si="3"/>
        <v/>
      </c>
      <c r="S20" s="122"/>
      <c r="T20" s="120"/>
      <c r="U20" s="120"/>
      <c r="V20" s="63"/>
      <c r="Z20" s="64"/>
    </row>
    <row r="21" spans="1:26" x14ac:dyDescent="0.3">
      <c r="A21" s="8">
        <v>142</v>
      </c>
      <c r="B21" s="8" t="s">
        <v>468</v>
      </c>
      <c r="C21" s="9" t="s">
        <v>8</v>
      </c>
      <c r="D21" s="10" t="s">
        <v>299</v>
      </c>
      <c r="E21" s="30" t="s">
        <v>300</v>
      </c>
      <c r="F21" s="12" t="s">
        <v>4</v>
      </c>
      <c r="G21" s="12" t="s">
        <v>51</v>
      </c>
      <c r="H21" s="172" t="s">
        <v>505</v>
      </c>
      <c r="I21" s="9" t="s">
        <v>13</v>
      </c>
      <c r="J21" s="12">
        <v>4</v>
      </c>
      <c r="K21" s="8" t="s">
        <v>507</v>
      </c>
      <c r="L21" s="9" t="s">
        <v>258</v>
      </c>
      <c r="M21" s="160"/>
      <c r="N21" s="9" t="s">
        <v>258</v>
      </c>
      <c r="O21" s="9"/>
      <c r="P21" s="10"/>
      <c r="Q21" s="118" t="s">
        <v>472</v>
      </c>
      <c r="R21" s="118">
        <f>J21</f>
        <v>4</v>
      </c>
      <c r="S21" s="119" t="s">
        <v>474</v>
      </c>
      <c r="T21" s="120"/>
      <c r="U21" s="120"/>
      <c r="V21" s="63"/>
      <c r="Z21" s="64"/>
    </row>
    <row r="22" spans="1:26" x14ac:dyDescent="0.3">
      <c r="A22" s="8">
        <v>143</v>
      </c>
      <c r="B22" s="8" t="s">
        <v>468</v>
      </c>
      <c r="C22" s="9" t="s">
        <v>8</v>
      </c>
      <c r="D22" s="10" t="s">
        <v>301</v>
      </c>
      <c r="E22" s="30" t="s">
        <v>302</v>
      </c>
      <c r="F22" s="12" t="s">
        <v>4</v>
      </c>
      <c r="G22" s="12" t="s">
        <v>16</v>
      </c>
      <c r="H22" s="12"/>
      <c r="I22" s="9" t="s">
        <v>13</v>
      </c>
      <c r="J22" s="12">
        <v>4</v>
      </c>
      <c r="K22" s="8" t="s">
        <v>507</v>
      </c>
      <c r="L22" s="9" t="s">
        <v>258</v>
      </c>
      <c r="M22" s="160"/>
      <c r="N22" s="9" t="s">
        <v>258</v>
      </c>
      <c r="O22" s="9"/>
      <c r="P22" s="10"/>
      <c r="Q22" s="118">
        <f t="shared" ref="Q22:Q43" si="4">IF(I22="SI",J22,"")</f>
        <v>4</v>
      </c>
      <c r="R22" s="118" t="str">
        <f t="shared" ref="R22:R43" si="5">IF(I22="SI","",J22)</f>
        <v/>
      </c>
      <c r="S22" s="122"/>
      <c r="T22" s="120"/>
      <c r="U22" s="120"/>
      <c r="V22" s="63"/>
      <c r="Z22" s="64"/>
    </row>
    <row r="23" spans="1:26" x14ac:dyDescent="0.3">
      <c r="A23" s="8">
        <v>144</v>
      </c>
      <c r="B23" s="8" t="s">
        <v>468</v>
      </c>
      <c r="C23" s="9" t="s">
        <v>8</v>
      </c>
      <c r="D23" s="10" t="s">
        <v>303</v>
      </c>
      <c r="E23" s="30" t="s">
        <v>304</v>
      </c>
      <c r="F23" s="12" t="s">
        <v>4</v>
      </c>
      <c r="G23" s="12" t="s">
        <v>16</v>
      </c>
      <c r="H23" s="12"/>
      <c r="I23" s="9" t="s">
        <v>13</v>
      </c>
      <c r="J23" s="12">
        <v>4</v>
      </c>
      <c r="K23" s="8" t="s">
        <v>507</v>
      </c>
      <c r="L23" s="9" t="s">
        <v>258</v>
      </c>
      <c r="M23" s="160"/>
      <c r="N23" s="9" t="s">
        <v>258</v>
      </c>
      <c r="O23" s="9"/>
      <c r="P23" s="10"/>
      <c r="Q23" s="118">
        <f t="shared" si="4"/>
        <v>4</v>
      </c>
      <c r="R23" s="118" t="str">
        <f t="shared" si="5"/>
        <v/>
      </c>
      <c r="S23" s="122"/>
      <c r="T23" s="120"/>
      <c r="U23" s="120"/>
      <c r="V23" s="63"/>
      <c r="Z23" s="64"/>
    </row>
    <row r="24" spans="1:26" x14ac:dyDescent="0.3">
      <c r="A24" s="8">
        <v>145</v>
      </c>
      <c r="B24" s="8" t="s">
        <v>468</v>
      </c>
      <c r="C24" s="9" t="s">
        <v>8</v>
      </c>
      <c r="D24" s="10" t="s">
        <v>305</v>
      </c>
      <c r="E24" s="30" t="s">
        <v>306</v>
      </c>
      <c r="F24" s="12" t="s">
        <v>4</v>
      </c>
      <c r="G24" s="12" t="s">
        <v>16</v>
      </c>
      <c r="H24" s="12"/>
      <c r="I24" s="9" t="s">
        <v>13</v>
      </c>
      <c r="J24" s="12">
        <v>4</v>
      </c>
      <c r="K24" s="8" t="s">
        <v>507</v>
      </c>
      <c r="L24" s="9" t="s">
        <v>258</v>
      </c>
      <c r="M24" s="160"/>
      <c r="N24" s="9" t="s">
        <v>258</v>
      </c>
      <c r="O24" s="9"/>
      <c r="P24" s="10"/>
      <c r="Q24" s="118">
        <f t="shared" si="4"/>
        <v>4</v>
      </c>
      <c r="R24" s="118" t="str">
        <f t="shared" si="5"/>
        <v/>
      </c>
      <c r="S24" s="122"/>
      <c r="T24" s="120"/>
      <c r="U24" s="120"/>
      <c r="V24" s="63"/>
      <c r="Z24" s="64"/>
    </row>
    <row r="25" spans="1:26" x14ac:dyDescent="0.3">
      <c r="A25" s="8">
        <v>146</v>
      </c>
      <c r="B25" s="8" t="s">
        <v>468</v>
      </c>
      <c r="C25" s="9" t="s">
        <v>8</v>
      </c>
      <c r="D25" s="10" t="s">
        <v>307</v>
      </c>
      <c r="E25" s="30" t="s">
        <v>308</v>
      </c>
      <c r="F25" s="12" t="s">
        <v>4</v>
      </c>
      <c r="G25" s="12" t="s">
        <v>16</v>
      </c>
      <c r="H25" s="12"/>
      <c r="I25" s="9" t="s">
        <v>13</v>
      </c>
      <c r="J25" s="12">
        <v>4</v>
      </c>
      <c r="K25" s="8" t="s">
        <v>507</v>
      </c>
      <c r="L25" s="9" t="s">
        <v>258</v>
      </c>
      <c r="M25" s="160"/>
      <c r="N25" s="9" t="s">
        <v>258</v>
      </c>
      <c r="O25" s="9"/>
      <c r="P25" s="10"/>
      <c r="Q25" s="118">
        <f t="shared" si="4"/>
        <v>4</v>
      </c>
      <c r="R25" s="118" t="str">
        <f t="shared" si="5"/>
        <v/>
      </c>
      <c r="S25" s="122"/>
      <c r="T25" s="120"/>
      <c r="U25" s="120"/>
      <c r="V25" s="63"/>
      <c r="Z25" s="64"/>
    </row>
    <row r="26" spans="1:26" x14ac:dyDescent="0.3">
      <c r="A26" s="8">
        <v>147</v>
      </c>
      <c r="B26" s="8" t="s">
        <v>468</v>
      </c>
      <c r="C26" s="9" t="s">
        <v>8</v>
      </c>
      <c r="D26" s="10" t="s">
        <v>309</v>
      </c>
      <c r="E26" s="30" t="s">
        <v>310</v>
      </c>
      <c r="F26" s="12" t="s">
        <v>4</v>
      </c>
      <c r="G26" s="12" t="s">
        <v>16</v>
      </c>
      <c r="H26" s="12"/>
      <c r="I26" s="9" t="s">
        <v>13</v>
      </c>
      <c r="J26" s="12">
        <v>4</v>
      </c>
      <c r="K26" s="8" t="s">
        <v>507</v>
      </c>
      <c r="L26" s="9" t="s">
        <v>258</v>
      </c>
      <c r="M26" s="160"/>
      <c r="N26" s="9" t="s">
        <v>258</v>
      </c>
      <c r="O26" s="9"/>
      <c r="P26" s="10"/>
      <c r="Q26" s="118">
        <f t="shared" si="4"/>
        <v>4</v>
      </c>
      <c r="R26" s="118" t="str">
        <f t="shared" si="5"/>
        <v/>
      </c>
      <c r="S26" s="122"/>
      <c r="T26" s="120"/>
      <c r="U26" s="120"/>
      <c r="V26" s="63"/>
      <c r="Z26" s="64"/>
    </row>
    <row r="27" spans="1:26" x14ac:dyDescent="0.3">
      <c r="A27" s="8">
        <v>148</v>
      </c>
      <c r="B27" s="8" t="s">
        <v>468</v>
      </c>
      <c r="C27" s="9" t="s">
        <v>8</v>
      </c>
      <c r="D27" s="10" t="s">
        <v>311</v>
      </c>
      <c r="E27" s="30" t="s">
        <v>312</v>
      </c>
      <c r="F27" s="12" t="s">
        <v>4</v>
      </c>
      <c r="G27" s="12" t="s">
        <v>16</v>
      </c>
      <c r="H27" s="12"/>
      <c r="I27" s="9" t="s">
        <v>13</v>
      </c>
      <c r="J27" s="12">
        <v>3</v>
      </c>
      <c r="K27" s="8" t="s">
        <v>507</v>
      </c>
      <c r="L27" s="9" t="s">
        <v>258</v>
      </c>
      <c r="M27" s="160"/>
      <c r="N27" s="9" t="s">
        <v>258</v>
      </c>
      <c r="O27" s="9"/>
      <c r="P27" s="10"/>
      <c r="Q27" s="118">
        <f t="shared" si="4"/>
        <v>3</v>
      </c>
      <c r="R27" s="118" t="str">
        <f t="shared" si="5"/>
        <v/>
      </c>
      <c r="S27" s="122"/>
      <c r="T27" s="120"/>
      <c r="U27" s="120"/>
      <c r="V27" s="63"/>
      <c r="Z27" s="64"/>
    </row>
    <row r="28" spans="1:26" x14ac:dyDescent="0.3">
      <c r="A28" s="8">
        <v>149</v>
      </c>
      <c r="B28" s="8" t="s">
        <v>468</v>
      </c>
      <c r="C28" s="9" t="s">
        <v>8</v>
      </c>
      <c r="D28" s="10" t="s">
        <v>313</v>
      </c>
      <c r="E28" s="30" t="s">
        <v>314</v>
      </c>
      <c r="F28" s="12" t="s">
        <v>4</v>
      </c>
      <c r="G28" s="12" t="s">
        <v>16</v>
      </c>
      <c r="H28" s="12"/>
      <c r="I28" s="9" t="s">
        <v>13</v>
      </c>
      <c r="J28" s="12">
        <v>4</v>
      </c>
      <c r="K28" s="8" t="s">
        <v>507</v>
      </c>
      <c r="L28" s="9" t="s">
        <v>258</v>
      </c>
      <c r="M28" s="160"/>
      <c r="N28" s="9" t="s">
        <v>258</v>
      </c>
      <c r="O28" s="9"/>
      <c r="P28" s="10"/>
      <c r="Q28" s="118">
        <f t="shared" si="4"/>
        <v>4</v>
      </c>
      <c r="R28" s="118" t="str">
        <f t="shared" si="5"/>
        <v/>
      </c>
      <c r="S28" s="122"/>
      <c r="T28" s="120"/>
      <c r="U28" s="120"/>
      <c r="V28" s="63"/>
      <c r="Z28" s="64"/>
    </row>
    <row r="29" spans="1:26" x14ac:dyDescent="0.3">
      <c r="A29" s="8">
        <v>150</v>
      </c>
      <c r="B29" s="8" t="s">
        <v>468</v>
      </c>
      <c r="C29" s="9" t="s">
        <v>8</v>
      </c>
      <c r="D29" s="10" t="s">
        <v>315</v>
      </c>
      <c r="E29" s="30" t="s">
        <v>316</v>
      </c>
      <c r="F29" s="12" t="s">
        <v>4</v>
      </c>
      <c r="G29" s="12" t="s">
        <v>16</v>
      </c>
      <c r="H29" s="12"/>
      <c r="I29" s="9" t="s">
        <v>13</v>
      </c>
      <c r="J29" s="12">
        <v>4</v>
      </c>
      <c r="K29" s="8" t="s">
        <v>507</v>
      </c>
      <c r="L29" s="9" t="s">
        <v>258</v>
      </c>
      <c r="M29" s="160"/>
      <c r="N29" s="9" t="s">
        <v>258</v>
      </c>
      <c r="O29" s="9"/>
      <c r="P29" s="10"/>
      <c r="Q29" s="118">
        <f t="shared" si="4"/>
        <v>4</v>
      </c>
      <c r="R29" s="118" t="str">
        <f t="shared" si="5"/>
        <v/>
      </c>
      <c r="S29" s="122"/>
      <c r="T29" s="120"/>
      <c r="U29" s="120"/>
      <c r="V29" s="63"/>
      <c r="Z29" s="64"/>
    </row>
    <row r="30" spans="1:26" x14ac:dyDescent="0.3">
      <c r="A30" s="8">
        <v>151</v>
      </c>
      <c r="B30" s="8" t="s">
        <v>468</v>
      </c>
      <c r="C30" s="9" t="s">
        <v>8</v>
      </c>
      <c r="D30" s="10" t="s">
        <v>317</v>
      </c>
      <c r="E30" s="30" t="s">
        <v>318</v>
      </c>
      <c r="F30" s="12" t="s">
        <v>4</v>
      </c>
      <c r="G30" s="12" t="s">
        <v>51</v>
      </c>
      <c r="H30" s="172" t="s">
        <v>505</v>
      </c>
      <c r="I30" s="9" t="s">
        <v>13</v>
      </c>
      <c r="J30" s="12">
        <v>4</v>
      </c>
      <c r="K30" s="8" t="s">
        <v>507</v>
      </c>
      <c r="L30" s="9" t="s">
        <v>258</v>
      </c>
      <c r="M30" s="160"/>
      <c r="N30" s="9" t="s">
        <v>258</v>
      </c>
      <c r="O30" s="9"/>
      <c r="P30" s="10"/>
      <c r="Q30" s="118">
        <f t="shared" si="4"/>
        <v>4</v>
      </c>
      <c r="R30" s="118" t="str">
        <f t="shared" si="5"/>
        <v/>
      </c>
      <c r="S30" s="122"/>
      <c r="T30" s="120"/>
      <c r="U30" s="120"/>
      <c r="V30" s="63"/>
      <c r="Z30" s="64"/>
    </row>
    <row r="31" spans="1:26" x14ac:dyDescent="0.3">
      <c r="A31" s="8">
        <v>152</v>
      </c>
      <c r="B31" s="8" t="s">
        <v>468</v>
      </c>
      <c r="C31" s="9" t="s">
        <v>8</v>
      </c>
      <c r="D31" s="10" t="s">
        <v>319</v>
      </c>
      <c r="E31" s="30" t="s">
        <v>320</v>
      </c>
      <c r="F31" s="12" t="s">
        <v>4</v>
      </c>
      <c r="G31" s="12" t="s">
        <v>51</v>
      </c>
      <c r="H31" s="172" t="s">
        <v>505</v>
      </c>
      <c r="I31" s="9" t="s">
        <v>13</v>
      </c>
      <c r="J31" s="12">
        <v>3</v>
      </c>
      <c r="K31" s="8" t="s">
        <v>507</v>
      </c>
      <c r="L31" s="9" t="s">
        <v>258</v>
      </c>
      <c r="M31" s="160"/>
      <c r="N31" s="9" t="s">
        <v>258</v>
      </c>
      <c r="O31" s="9"/>
      <c r="P31" s="10"/>
      <c r="Q31" s="118">
        <f t="shared" si="4"/>
        <v>3</v>
      </c>
      <c r="R31" s="118" t="str">
        <f t="shared" si="5"/>
        <v/>
      </c>
      <c r="S31" s="122"/>
      <c r="T31" s="120"/>
      <c r="U31" s="120"/>
      <c r="V31" s="63"/>
      <c r="Z31" s="64"/>
    </row>
    <row r="32" spans="1:26" x14ac:dyDescent="0.3">
      <c r="A32" s="8">
        <v>153</v>
      </c>
      <c r="B32" s="8" t="s">
        <v>468</v>
      </c>
      <c r="C32" s="9" t="s">
        <v>8</v>
      </c>
      <c r="D32" s="10" t="s">
        <v>321</v>
      </c>
      <c r="E32" s="30" t="s">
        <v>322</v>
      </c>
      <c r="F32" s="12" t="s">
        <v>4</v>
      </c>
      <c r="G32" s="12" t="s">
        <v>51</v>
      </c>
      <c r="H32" s="172" t="s">
        <v>505</v>
      </c>
      <c r="I32" s="9" t="s">
        <v>13</v>
      </c>
      <c r="J32" s="12">
        <v>4</v>
      </c>
      <c r="K32" s="8" t="s">
        <v>507</v>
      </c>
      <c r="L32" s="9" t="s">
        <v>258</v>
      </c>
      <c r="M32" s="160"/>
      <c r="N32" s="9" t="s">
        <v>258</v>
      </c>
      <c r="O32" s="9"/>
      <c r="P32" s="10"/>
      <c r="Q32" s="118">
        <f t="shared" si="4"/>
        <v>4</v>
      </c>
      <c r="R32" s="118" t="str">
        <f t="shared" si="5"/>
        <v/>
      </c>
      <c r="S32" s="122"/>
      <c r="T32" s="120"/>
      <c r="U32" s="120"/>
      <c r="V32" s="63"/>
      <c r="Z32" s="64"/>
    </row>
    <row r="33" spans="1:26" x14ac:dyDescent="0.3">
      <c r="A33" s="8">
        <v>154</v>
      </c>
      <c r="B33" s="8" t="s">
        <v>468</v>
      </c>
      <c r="C33" s="9" t="s">
        <v>8</v>
      </c>
      <c r="D33" s="10" t="s">
        <v>323</v>
      </c>
      <c r="E33" s="30" t="s">
        <v>324</v>
      </c>
      <c r="F33" s="12" t="s">
        <v>4</v>
      </c>
      <c r="G33" s="12" t="s">
        <v>51</v>
      </c>
      <c r="H33" s="172" t="s">
        <v>505</v>
      </c>
      <c r="I33" s="9" t="s">
        <v>13</v>
      </c>
      <c r="J33" s="12">
        <v>3</v>
      </c>
      <c r="K33" s="8" t="s">
        <v>507</v>
      </c>
      <c r="L33" s="9" t="s">
        <v>258</v>
      </c>
      <c r="M33" s="160"/>
      <c r="N33" s="9" t="s">
        <v>258</v>
      </c>
      <c r="O33" s="9"/>
      <c r="P33" s="10"/>
      <c r="Q33" s="118">
        <f t="shared" si="4"/>
        <v>3</v>
      </c>
      <c r="R33" s="118" t="str">
        <f t="shared" si="5"/>
        <v/>
      </c>
      <c r="S33" s="122"/>
      <c r="T33" s="120"/>
      <c r="U33" s="120"/>
      <c r="V33" s="63"/>
      <c r="Z33" s="64"/>
    </row>
    <row r="34" spans="1:26" x14ac:dyDescent="0.3">
      <c r="A34" s="8">
        <v>155</v>
      </c>
      <c r="B34" s="8" t="s">
        <v>468</v>
      </c>
      <c r="C34" s="9" t="s">
        <v>8</v>
      </c>
      <c r="D34" s="10" t="s">
        <v>325</v>
      </c>
      <c r="E34" s="30" t="s">
        <v>326</v>
      </c>
      <c r="F34" s="12" t="s">
        <v>4</v>
      </c>
      <c r="G34" s="12" t="s">
        <v>51</v>
      </c>
      <c r="H34" s="172" t="s">
        <v>505</v>
      </c>
      <c r="I34" s="9" t="s">
        <v>13</v>
      </c>
      <c r="J34" s="15">
        <v>3</v>
      </c>
      <c r="K34" s="8" t="s">
        <v>507</v>
      </c>
      <c r="L34" s="9" t="s">
        <v>258</v>
      </c>
      <c r="M34" s="160"/>
      <c r="N34" s="9" t="s">
        <v>258</v>
      </c>
      <c r="O34" s="9"/>
      <c r="P34" s="10"/>
      <c r="Q34" s="118">
        <f t="shared" si="4"/>
        <v>3</v>
      </c>
      <c r="R34" s="118" t="str">
        <f t="shared" si="5"/>
        <v/>
      </c>
      <c r="S34" s="122"/>
      <c r="T34" s="120"/>
      <c r="U34" s="120"/>
      <c r="V34" s="63"/>
      <c r="Z34" s="64"/>
    </row>
    <row r="35" spans="1:26" x14ac:dyDescent="0.3">
      <c r="A35" s="8">
        <v>156</v>
      </c>
      <c r="B35" s="8" t="s">
        <v>468</v>
      </c>
      <c r="C35" s="9" t="s">
        <v>8</v>
      </c>
      <c r="D35" s="10" t="s">
        <v>327</v>
      </c>
      <c r="E35" s="30" t="s">
        <v>328</v>
      </c>
      <c r="F35" s="12" t="s">
        <v>4</v>
      </c>
      <c r="G35" s="12" t="s">
        <v>51</v>
      </c>
      <c r="H35" s="172" t="s">
        <v>505</v>
      </c>
      <c r="I35" s="9" t="s">
        <v>13</v>
      </c>
      <c r="J35" s="15">
        <v>3</v>
      </c>
      <c r="K35" s="8" t="s">
        <v>507</v>
      </c>
      <c r="L35" s="9" t="s">
        <v>258</v>
      </c>
      <c r="M35" s="160"/>
      <c r="N35" s="9" t="s">
        <v>258</v>
      </c>
      <c r="O35" s="9"/>
      <c r="P35" s="10"/>
      <c r="Q35" s="118">
        <f t="shared" si="4"/>
        <v>3</v>
      </c>
      <c r="R35" s="118" t="str">
        <f t="shared" si="5"/>
        <v/>
      </c>
      <c r="S35" s="122"/>
      <c r="T35" s="120"/>
      <c r="U35" s="120"/>
      <c r="V35" s="63"/>
      <c r="Z35" s="64"/>
    </row>
    <row r="36" spans="1:26" x14ac:dyDescent="0.3">
      <c r="A36" s="8">
        <v>214</v>
      </c>
      <c r="B36" s="8" t="s">
        <v>468</v>
      </c>
      <c r="C36" s="9" t="s">
        <v>8</v>
      </c>
      <c r="D36" s="10" t="s">
        <v>444</v>
      </c>
      <c r="E36" s="30" t="s">
        <v>445</v>
      </c>
      <c r="F36" s="12" t="s">
        <v>4</v>
      </c>
      <c r="G36" s="12" t="s">
        <v>16</v>
      </c>
      <c r="H36" s="12"/>
      <c r="I36" s="9" t="s">
        <v>13</v>
      </c>
      <c r="J36" s="15">
        <v>4</v>
      </c>
      <c r="K36" s="70" t="s">
        <v>262</v>
      </c>
      <c r="L36" s="9" t="s">
        <v>258</v>
      </c>
      <c r="M36" s="164" t="s">
        <v>500</v>
      </c>
      <c r="N36" s="9" t="s">
        <v>258</v>
      </c>
      <c r="O36" s="9"/>
      <c r="Q36" s="118">
        <f t="shared" si="4"/>
        <v>4</v>
      </c>
      <c r="R36" s="118" t="str">
        <f t="shared" si="5"/>
        <v/>
      </c>
      <c r="S36" s="122"/>
      <c r="T36" s="120"/>
      <c r="U36" s="120"/>
      <c r="V36" s="63"/>
      <c r="Z36" s="64"/>
    </row>
    <row r="37" spans="1:26" x14ac:dyDescent="0.3">
      <c r="A37" s="8">
        <v>193</v>
      </c>
      <c r="B37" s="8" t="s">
        <v>468</v>
      </c>
      <c r="C37" s="9" t="s">
        <v>8</v>
      </c>
      <c r="D37" s="10" t="s">
        <v>384</v>
      </c>
      <c r="E37" s="30" t="s">
        <v>385</v>
      </c>
      <c r="F37" s="12" t="s">
        <v>4</v>
      </c>
      <c r="G37" s="12" t="s">
        <v>16</v>
      </c>
      <c r="H37" s="12"/>
      <c r="I37" s="9" t="s">
        <v>178</v>
      </c>
      <c r="J37" s="15">
        <v>3</v>
      </c>
      <c r="K37" s="68" t="s">
        <v>260</v>
      </c>
      <c r="L37" s="9" t="s">
        <v>258</v>
      </c>
      <c r="M37" s="160"/>
      <c r="N37" s="9" t="s">
        <v>258</v>
      </c>
      <c r="O37" s="9"/>
      <c r="Q37" s="118" t="str">
        <f t="shared" si="4"/>
        <v/>
      </c>
      <c r="R37" s="118">
        <f t="shared" si="5"/>
        <v>3</v>
      </c>
      <c r="S37" s="122"/>
      <c r="T37" s="120"/>
      <c r="U37" s="120"/>
      <c r="V37" s="63"/>
      <c r="Z37" s="64"/>
    </row>
    <row r="38" spans="1:26" x14ac:dyDescent="0.3">
      <c r="A38" s="8">
        <v>157</v>
      </c>
      <c r="B38" s="8" t="s">
        <v>468</v>
      </c>
      <c r="C38" s="9" t="s">
        <v>8</v>
      </c>
      <c r="D38" s="10" t="s">
        <v>329</v>
      </c>
      <c r="E38" s="30" t="s">
        <v>330</v>
      </c>
      <c r="F38" s="12" t="s">
        <v>4</v>
      </c>
      <c r="G38" s="12" t="s">
        <v>16</v>
      </c>
      <c r="H38" s="12"/>
      <c r="I38" s="9" t="s">
        <v>13</v>
      </c>
      <c r="J38" s="15">
        <v>6</v>
      </c>
      <c r="K38" s="8" t="s">
        <v>261</v>
      </c>
      <c r="L38" s="9" t="s">
        <v>258</v>
      </c>
      <c r="M38" s="160"/>
      <c r="N38" s="9" t="s">
        <v>258</v>
      </c>
      <c r="O38" s="9"/>
      <c r="P38" s="10"/>
      <c r="Q38" s="118">
        <f t="shared" si="4"/>
        <v>6</v>
      </c>
      <c r="R38" s="118" t="str">
        <f t="shared" si="5"/>
        <v/>
      </c>
      <c r="S38" s="122"/>
      <c r="T38" s="120"/>
      <c r="U38" s="120"/>
      <c r="V38" s="63"/>
      <c r="Z38" s="64"/>
    </row>
    <row r="39" spans="1:26" x14ac:dyDescent="0.3">
      <c r="A39" s="8">
        <v>158</v>
      </c>
      <c r="B39" s="8" t="s">
        <v>468</v>
      </c>
      <c r="C39" s="9" t="s">
        <v>8</v>
      </c>
      <c r="D39" s="10" t="s">
        <v>331</v>
      </c>
      <c r="E39" s="30" t="s">
        <v>332</v>
      </c>
      <c r="F39" s="12" t="s">
        <v>4</v>
      </c>
      <c r="G39" s="12" t="s">
        <v>51</v>
      </c>
      <c r="H39" s="12" t="s">
        <v>506</v>
      </c>
      <c r="I39" s="9" t="s">
        <v>13</v>
      </c>
      <c r="J39" s="15">
        <v>4</v>
      </c>
      <c r="K39" s="8" t="s">
        <v>261</v>
      </c>
      <c r="L39" s="9" t="s">
        <v>258</v>
      </c>
      <c r="M39" s="160"/>
      <c r="N39" s="9" t="s">
        <v>258</v>
      </c>
      <c r="O39" s="9"/>
      <c r="P39" s="10"/>
      <c r="Q39" s="118">
        <f t="shared" si="4"/>
        <v>4</v>
      </c>
      <c r="R39" s="118" t="str">
        <f t="shared" si="5"/>
        <v/>
      </c>
      <c r="S39" s="122"/>
      <c r="T39" s="120"/>
      <c r="U39" s="120"/>
      <c r="V39" s="63"/>
      <c r="Z39" s="64"/>
    </row>
    <row r="40" spans="1:26" x14ac:dyDescent="0.3">
      <c r="A40" s="8">
        <v>218</v>
      </c>
      <c r="B40" s="8" t="s">
        <v>468</v>
      </c>
      <c r="C40" s="9" t="s">
        <v>8</v>
      </c>
      <c r="D40" s="10" t="s">
        <v>456</v>
      </c>
      <c r="E40" s="30" t="s">
        <v>457</v>
      </c>
      <c r="F40" s="12" t="s">
        <v>4</v>
      </c>
      <c r="G40" s="12" t="s">
        <v>16</v>
      </c>
      <c r="H40" s="12" t="s">
        <v>502</v>
      </c>
      <c r="I40" s="9" t="s">
        <v>13</v>
      </c>
      <c r="J40" s="15">
        <v>3</v>
      </c>
      <c r="K40" s="70" t="s">
        <v>262</v>
      </c>
      <c r="L40" s="9" t="s">
        <v>258</v>
      </c>
      <c r="M40" s="164" t="s">
        <v>500</v>
      </c>
      <c r="N40" s="9" t="s">
        <v>258</v>
      </c>
      <c r="O40" s="9"/>
      <c r="Q40" s="118">
        <f t="shared" si="4"/>
        <v>3</v>
      </c>
      <c r="R40" s="118" t="str">
        <f t="shared" si="5"/>
        <v/>
      </c>
      <c r="S40" s="122"/>
      <c r="T40" s="120"/>
      <c r="U40" s="120"/>
      <c r="V40" s="63"/>
      <c r="Z40" s="64"/>
    </row>
    <row r="41" spans="1:26" x14ac:dyDescent="0.3">
      <c r="A41" s="8">
        <v>194</v>
      </c>
      <c r="B41" s="8" t="s">
        <v>468</v>
      </c>
      <c r="C41" s="9" t="s">
        <v>8</v>
      </c>
      <c r="D41" s="10" t="s">
        <v>387</v>
      </c>
      <c r="E41" s="30" t="s">
        <v>388</v>
      </c>
      <c r="F41" s="12" t="s">
        <v>4</v>
      </c>
      <c r="G41" s="12" t="s">
        <v>16</v>
      </c>
      <c r="H41" s="12" t="s">
        <v>502</v>
      </c>
      <c r="I41" s="9" t="s">
        <v>13</v>
      </c>
      <c r="J41" s="15">
        <v>3</v>
      </c>
      <c r="K41" s="70" t="s">
        <v>262</v>
      </c>
      <c r="L41" s="9" t="s">
        <v>258</v>
      </c>
      <c r="M41" s="164" t="s">
        <v>500</v>
      </c>
      <c r="N41" s="9" t="s">
        <v>258</v>
      </c>
      <c r="O41" s="9"/>
      <c r="Q41" s="118">
        <f t="shared" si="4"/>
        <v>3</v>
      </c>
      <c r="R41" s="118" t="str">
        <f t="shared" si="5"/>
        <v/>
      </c>
      <c r="S41" s="122"/>
      <c r="T41" s="120"/>
      <c r="U41" s="120"/>
      <c r="V41" s="63"/>
      <c r="Z41" s="64"/>
    </row>
    <row r="42" spans="1:26" x14ac:dyDescent="0.3">
      <c r="A42" s="8">
        <v>195</v>
      </c>
      <c r="B42" s="8" t="s">
        <v>468</v>
      </c>
      <c r="C42" s="9" t="s">
        <v>8</v>
      </c>
      <c r="D42" s="10" t="s">
        <v>390</v>
      </c>
      <c r="E42" s="30" t="s">
        <v>391</v>
      </c>
      <c r="F42" s="12" t="s">
        <v>4</v>
      </c>
      <c r="G42" s="12" t="s">
        <v>16</v>
      </c>
      <c r="H42" s="12"/>
      <c r="I42" s="23" t="s">
        <v>510</v>
      </c>
      <c r="J42" s="15">
        <v>4</v>
      </c>
      <c r="K42" s="22" t="s">
        <v>465</v>
      </c>
      <c r="L42" s="9" t="s">
        <v>258</v>
      </c>
      <c r="M42" s="163" t="s">
        <v>501</v>
      </c>
      <c r="N42" s="9" t="s">
        <v>258</v>
      </c>
      <c r="O42" s="9"/>
      <c r="Q42" s="118" t="str">
        <f t="shared" si="4"/>
        <v/>
      </c>
      <c r="R42" s="118">
        <f t="shared" si="5"/>
        <v>4</v>
      </c>
      <c r="S42" s="122"/>
      <c r="T42" s="120"/>
      <c r="U42" s="120"/>
      <c r="V42" s="63"/>
      <c r="Z42" s="64"/>
    </row>
    <row r="43" spans="1:26" x14ac:dyDescent="0.3">
      <c r="A43" s="8">
        <v>196</v>
      </c>
      <c r="B43" s="8" t="s">
        <v>468</v>
      </c>
      <c r="C43" s="9" t="s">
        <v>8</v>
      </c>
      <c r="D43" s="10" t="s">
        <v>393</v>
      </c>
      <c r="E43" s="30" t="s">
        <v>394</v>
      </c>
      <c r="F43" s="12" t="s">
        <v>4</v>
      </c>
      <c r="G43" s="12" t="s">
        <v>16</v>
      </c>
      <c r="H43" s="12"/>
      <c r="I43" s="23" t="s">
        <v>510</v>
      </c>
      <c r="J43" s="15">
        <v>4</v>
      </c>
      <c r="K43" s="22" t="s">
        <v>465</v>
      </c>
      <c r="L43" s="9" t="s">
        <v>258</v>
      </c>
      <c r="M43" s="163" t="s">
        <v>501</v>
      </c>
      <c r="N43" s="9" t="s">
        <v>258</v>
      </c>
      <c r="O43" s="9"/>
      <c r="Q43" s="118" t="str">
        <f t="shared" si="4"/>
        <v/>
      </c>
      <c r="R43" s="118">
        <f t="shared" si="5"/>
        <v>4</v>
      </c>
      <c r="S43" s="122"/>
      <c r="T43" s="120"/>
      <c r="U43" s="120"/>
      <c r="V43" s="63"/>
      <c r="Z43" s="64"/>
    </row>
    <row r="44" spans="1:26" x14ac:dyDescent="0.3">
      <c r="A44" s="8">
        <v>215</v>
      </c>
      <c r="B44" s="8" t="s">
        <v>468</v>
      </c>
      <c r="C44" s="9" t="s">
        <v>8</v>
      </c>
      <c r="D44" s="10" t="s">
        <v>447</v>
      </c>
      <c r="E44" s="30" t="s">
        <v>448</v>
      </c>
      <c r="F44" s="12" t="s">
        <v>4</v>
      </c>
      <c r="G44" s="12" t="s">
        <v>16</v>
      </c>
      <c r="H44" s="12"/>
      <c r="I44" s="173" t="s">
        <v>511</v>
      </c>
      <c r="J44" s="15">
        <v>4</v>
      </c>
      <c r="K44" s="68" t="s">
        <v>260</v>
      </c>
      <c r="L44" s="9" t="s">
        <v>258</v>
      </c>
      <c r="M44" s="160"/>
      <c r="N44" s="9" t="s">
        <v>258</v>
      </c>
      <c r="O44" s="9"/>
      <c r="Q44" s="118" t="str">
        <f>IF(I44="SI",J44,"")</f>
        <v/>
      </c>
      <c r="R44" s="118">
        <f>IF(I44="SI","",J44)</f>
        <v>4</v>
      </c>
      <c r="S44" s="122"/>
      <c r="T44" s="120"/>
      <c r="U44" s="120"/>
      <c r="V44" s="63"/>
      <c r="Z44" s="64"/>
    </row>
    <row r="45" spans="1:26" x14ac:dyDescent="0.3">
      <c r="A45" s="8">
        <v>197</v>
      </c>
      <c r="B45" s="8" t="s">
        <v>468</v>
      </c>
      <c r="C45" s="9" t="s">
        <v>8</v>
      </c>
      <c r="D45" s="10" t="s">
        <v>397</v>
      </c>
      <c r="E45" s="11" t="s">
        <v>398</v>
      </c>
      <c r="F45" s="12" t="s">
        <v>4</v>
      </c>
      <c r="G45" s="12" t="s">
        <v>16</v>
      </c>
      <c r="H45" s="12" t="s">
        <v>502</v>
      </c>
      <c r="I45" s="173" t="s">
        <v>511</v>
      </c>
      <c r="J45" s="12">
        <v>4</v>
      </c>
      <c r="K45" s="22" t="s">
        <v>465</v>
      </c>
      <c r="L45" s="9" t="s">
        <v>258</v>
      </c>
      <c r="M45" s="163" t="s">
        <v>501</v>
      </c>
      <c r="N45" s="9" t="s">
        <v>258</v>
      </c>
      <c r="O45" s="9"/>
      <c r="Q45" s="118" t="str">
        <f>IF(I45="SI",J45,"")</f>
        <v/>
      </c>
      <c r="R45" s="118">
        <f>IF(I45="SI","",J45)</f>
        <v>4</v>
      </c>
      <c r="S45" s="122"/>
      <c r="T45" s="120"/>
      <c r="U45" s="120"/>
      <c r="V45" s="63"/>
      <c r="Z45" s="64"/>
    </row>
    <row r="46" spans="1:26" x14ac:dyDescent="0.3">
      <c r="A46" s="8">
        <v>198</v>
      </c>
      <c r="B46" s="8" t="s">
        <v>468</v>
      </c>
      <c r="C46" s="9" t="s">
        <v>8</v>
      </c>
      <c r="D46" s="10" t="s">
        <v>400</v>
      </c>
      <c r="E46" s="11" t="s">
        <v>401</v>
      </c>
      <c r="F46" s="12" t="s">
        <v>4</v>
      </c>
      <c r="G46" s="12" t="s">
        <v>16</v>
      </c>
      <c r="H46" s="12" t="s">
        <v>502</v>
      </c>
      <c r="I46" s="173" t="s">
        <v>511</v>
      </c>
      <c r="J46" s="12">
        <v>3</v>
      </c>
      <c r="K46" s="22" t="s">
        <v>465</v>
      </c>
      <c r="L46" s="9" t="s">
        <v>258</v>
      </c>
      <c r="M46" s="163" t="s">
        <v>501</v>
      </c>
      <c r="N46" s="9" t="s">
        <v>258</v>
      </c>
      <c r="O46" s="9"/>
      <c r="Q46" s="118" t="str">
        <f>IF(I46="SI",J46,"")</f>
        <v/>
      </c>
      <c r="R46" s="118">
        <f>IF(I46="SI","",J46)</f>
        <v>3</v>
      </c>
      <c r="S46" s="122"/>
      <c r="T46" s="120"/>
      <c r="U46" s="120"/>
      <c r="V46" s="63"/>
      <c r="Z46" s="64"/>
    </row>
    <row r="47" spans="1:26" x14ac:dyDescent="0.3">
      <c r="A47" s="8">
        <v>159</v>
      </c>
      <c r="B47" s="8" t="s">
        <v>468</v>
      </c>
      <c r="C47" s="9" t="s">
        <v>8</v>
      </c>
      <c r="D47" s="10" t="s">
        <v>333</v>
      </c>
      <c r="E47" s="11" t="s">
        <v>334</v>
      </c>
      <c r="F47" s="12" t="s">
        <v>4</v>
      </c>
      <c r="G47" s="12" t="s">
        <v>16</v>
      </c>
      <c r="H47" s="12" t="s">
        <v>502</v>
      </c>
      <c r="I47" s="9" t="s">
        <v>13</v>
      </c>
      <c r="J47" s="12">
        <v>3</v>
      </c>
      <c r="K47" s="8" t="s">
        <v>261</v>
      </c>
      <c r="L47" s="9" t="s">
        <v>258</v>
      </c>
      <c r="M47" s="160"/>
      <c r="N47" s="9" t="s">
        <v>258</v>
      </c>
      <c r="O47" s="9"/>
      <c r="P47" s="10"/>
      <c r="Q47" s="118">
        <f>IF(I47="SI",J47,"")</f>
        <v>3</v>
      </c>
      <c r="R47" s="118" t="str">
        <f>IF(I47="SI","",J47)</f>
        <v/>
      </c>
      <c r="S47" s="122"/>
      <c r="T47" s="120"/>
      <c r="U47" s="120"/>
      <c r="V47" s="63"/>
      <c r="Z47" s="64"/>
    </row>
    <row r="48" spans="1:26" x14ac:dyDescent="0.3">
      <c r="A48" s="8">
        <v>217</v>
      </c>
      <c r="B48" s="8" t="s">
        <v>468</v>
      </c>
      <c r="C48" s="9" t="s">
        <v>8</v>
      </c>
      <c r="D48" s="10" t="s">
        <v>453</v>
      </c>
      <c r="E48" s="11" t="s">
        <v>454</v>
      </c>
      <c r="F48" s="12" t="s">
        <v>4</v>
      </c>
      <c r="G48" s="12" t="s">
        <v>16</v>
      </c>
      <c r="H48" s="12" t="s">
        <v>502</v>
      </c>
      <c r="I48" s="173" t="s">
        <v>511</v>
      </c>
      <c r="J48" s="12">
        <v>2</v>
      </c>
      <c r="K48" s="22" t="s">
        <v>465</v>
      </c>
      <c r="L48" s="9" t="s">
        <v>258</v>
      </c>
      <c r="M48" s="163" t="s">
        <v>501</v>
      </c>
      <c r="N48" s="9" t="s">
        <v>258</v>
      </c>
      <c r="O48" s="9"/>
      <c r="Q48" s="118" t="str">
        <f>IF(I48="SI",J48,"")</f>
        <v/>
      </c>
      <c r="R48" s="118">
        <f>IF(I48="SI","",J48)</f>
        <v>2</v>
      </c>
      <c r="S48" s="122"/>
      <c r="T48" s="120"/>
      <c r="U48" s="120"/>
      <c r="V48" s="63"/>
      <c r="Z48" s="64"/>
    </row>
    <row r="49" spans="1:26" x14ac:dyDescent="0.3">
      <c r="A49" s="8">
        <v>208</v>
      </c>
      <c r="B49" s="8" t="s">
        <v>468</v>
      </c>
      <c r="C49" s="9" t="s">
        <v>8</v>
      </c>
      <c r="D49" s="10" t="s">
        <v>430</v>
      </c>
      <c r="E49" s="11" t="s">
        <v>431</v>
      </c>
      <c r="F49" s="12" t="s">
        <v>4</v>
      </c>
      <c r="G49" s="12" t="s">
        <v>16</v>
      </c>
      <c r="H49" s="12" t="s">
        <v>502</v>
      </c>
      <c r="I49" s="9" t="s">
        <v>13</v>
      </c>
      <c r="J49" s="12">
        <v>3</v>
      </c>
      <c r="K49" s="70" t="s">
        <v>262</v>
      </c>
      <c r="L49" s="9" t="s">
        <v>258</v>
      </c>
      <c r="M49" s="164" t="s">
        <v>500</v>
      </c>
      <c r="N49" s="9" t="s">
        <v>258</v>
      </c>
      <c r="O49" s="9"/>
      <c r="Q49" s="118">
        <f t="shared" ref="Q49" si="6">IF(I49="SI",J49,"")</f>
        <v>3</v>
      </c>
      <c r="R49" s="118" t="str">
        <f t="shared" ref="R49" si="7">IF(I49="SI","",J49)</f>
        <v/>
      </c>
      <c r="S49" s="122"/>
      <c r="T49" s="120"/>
      <c r="U49" s="120"/>
      <c r="V49" s="63"/>
      <c r="Z49" s="64"/>
    </row>
    <row r="50" spans="1:26" x14ac:dyDescent="0.3">
      <c r="A50" s="8">
        <v>160</v>
      </c>
      <c r="B50" s="8" t="s">
        <v>468</v>
      </c>
      <c r="C50" s="9" t="s">
        <v>8</v>
      </c>
      <c r="D50" s="10" t="s">
        <v>335</v>
      </c>
      <c r="E50" s="30" t="s">
        <v>336</v>
      </c>
      <c r="F50" s="12" t="s">
        <v>4</v>
      </c>
      <c r="G50" s="12" t="s">
        <v>16</v>
      </c>
      <c r="H50" s="12"/>
      <c r="I50" s="9" t="s">
        <v>13</v>
      </c>
      <c r="J50" s="12">
        <v>4</v>
      </c>
      <c r="K50" s="8" t="s">
        <v>261</v>
      </c>
      <c r="L50" s="9" t="s">
        <v>258</v>
      </c>
      <c r="M50" s="160"/>
      <c r="N50" s="9" t="s">
        <v>258</v>
      </c>
      <c r="O50" s="9"/>
      <c r="P50" s="10"/>
      <c r="Q50" s="118">
        <f t="shared" ref="Q50:Q53" si="8">IF(I50="SI",J50,"")</f>
        <v>4</v>
      </c>
      <c r="R50" s="118" t="str">
        <f t="shared" ref="R50:R53" si="9">IF(I50="SI","",J50)</f>
        <v/>
      </c>
      <c r="S50" s="122"/>
      <c r="T50" s="120"/>
      <c r="U50" s="120"/>
      <c r="V50" s="63"/>
      <c r="Z50" s="64"/>
    </row>
    <row r="51" spans="1:26" x14ac:dyDescent="0.3">
      <c r="A51" s="8">
        <v>161</v>
      </c>
      <c r="B51" s="8" t="s">
        <v>468</v>
      </c>
      <c r="C51" s="9" t="s">
        <v>8</v>
      </c>
      <c r="D51" s="10" t="s">
        <v>337</v>
      </c>
      <c r="E51" s="30" t="s">
        <v>338</v>
      </c>
      <c r="F51" s="12" t="s">
        <v>4</v>
      </c>
      <c r="G51" s="12" t="s">
        <v>16</v>
      </c>
      <c r="H51" s="12"/>
      <c r="I51" s="9" t="s">
        <v>13</v>
      </c>
      <c r="J51" s="12">
        <v>3</v>
      </c>
      <c r="K51" s="8" t="s">
        <v>261</v>
      </c>
      <c r="L51" s="9" t="s">
        <v>258</v>
      </c>
      <c r="M51" s="160"/>
      <c r="N51" s="9" t="s">
        <v>258</v>
      </c>
      <c r="O51" s="9"/>
      <c r="P51" s="10"/>
      <c r="Q51" s="118">
        <f t="shared" si="8"/>
        <v>3</v>
      </c>
      <c r="R51" s="118" t="str">
        <f t="shared" si="9"/>
        <v/>
      </c>
      <c r="S51" s="122"/>
      <c r="T51" s="120"/>
      <c r="U51" s="120"/>
      <c r="V51" s="63"/>
      <c r="Z51" s="64"/>
    </row>
    <row r="52" spans="1:26" x14ac:dyDescent="0.3">
      <c r="A52" s="8">
        <v>162</v>
      </c>
      <c r="B52" s="8" t="s">
        <v>468</v>
      </c>
      <c r="C52" s="9" t="s">
        <v>8</v>
      </c>
      <c r="D52" s="10" t="s">
        <v>339</v>
      </c>
      <c r="E52" s="30" t="s">
        <v>340</v>
      </c>
      <c r="F52" s="12" t="s">
        <v>4</v>
      </c>
      <c r="G52" s="12" t="s">
        <v>16</v>
      </c>
      <c r="H52" s="12"/>
      <c r="I52" s="9" t="s">
        <v>13</v>
      </c>
      <c r="J52" s="12">
        <v>3</v>
      </c>
      <c r="K52" s="8" t="s">
        <v>261</v>
      </c>
      <c r="L52" s="9" t="s">
        <v>258</v>
      </c>
      <c r="M52" s="160"/>
      <c r="N52" s="9" t="s">
        <v>258</v>
      </c>
      <c r="O52" s="9"/>
      <c r="P52" s="10"/>
      <c r="Q52" s="118">
        <f t="shared" si="8"/>
        <v>3</v>
      </c>
      <c r="R52" s="118" t="str">
        <f t="shared" si="9"/>
        <v/>
      </c>
      <c r="S52" s="122"/>
      <c r="T52" s="120"/>
      <c r="U52" s="120"/>
      <c r="V52" s="63"/>
      <c r="Z52" s="64"/>
    </row>
    <row r="53" spans="1:26" x14ac:dyDescent="0.3">
      <c r="A53" s="8">
        <v>199</v>
      </c>
      <c r="B53" s="8" t="s">
        <v>468</v>
      </c>
      <c r="C53" s="9" t="s">
        <v>8</v>
      </c>
      <c r="D53" s="10" t="s">
        <v>403</v>
      </c>
      <c r="E53" s="30" t="s">
        <v>404</v>
      </c>
      <c r="F53" s="12" t="s">
        <v>4</v>
      </c>
      <c r="G53" s="12" t="s">
        <v>16</v>
      </c>
      <c r="H53" s="12"/>
      <c r="I53" s="173" t="s">
        <v>511</v>
      </c>
      <c r="J53" s="12">
        <v>4</v>
      </c>
      <c r="K53" s="68" t="s">
        <v>260</v>
      </c>
      <c r="L53" s="9" t="s">
        <v>258</v>
      </c>
      <c r="M53" s="160"/>
      <c r="N53" s="9" t="s">
        <v>258</v>
      </c>
      <c r="O53" s="9"/>
      <c r="Q53" s="118" t="str">
        <f t="shared" si="8"/>
        <v/>
      </c>
      <c r="R53" s="118">
        <f t="shared" si="9"/>
        <v>4</v>
      </c>
      <c r="S53" s="122"/>
      <c r="T53" s="120"/>
      <c r="U53" s="120"/>
      <c r="V53" s="63"/>
      <c r="Z53" s="64"/>
    </row>
    <row r="54" spans="1:26" x14ac:dyDescent="0.3">
      <c r="A54" s="8">
        <v>200</v>
      </c>
      <c r="B54" s="8" t="s">
        <v>468</v>
      </c>
      <c r="C54" s="9" t="s">
        <v>8</v>
      </c>
      <c r="D54" s="10" t="s">
        <v>406</v>
      </c>
      <c r="E54" s="30" t="s">
        <v>407</v>
      </c>
      <c r="F54" s="12" t="s">
        <v>4</v>
      </c>
      <c r="G54" s="12" t="s">
        <v>16</v>
      </c>
      <c r="H54" s="12"/>
      <c r="I54" s="9" t="s">
        <v>178</v>
      </c>
      <c r="J54" s="12">
        <v>5</v>
      </c>
      <c r="K54" s="151" t="s">
        <v>496</v>
      </c>
      <c r="L54" s="9" t="s">
        <v>258</v>
      </c>
      <c r="M54" s="160"/>
      <c r="N54" s="9" t="s">
        <v>258</v>
      </c>
      <c r="O54" s="9"/>
      <c r="Q54" s="118" t="str">
        <f t="shared" ref="Q54:Q68" si="10">IF(I54="SI",J54,"")</f>
        <v/>
      </c>
      <c r="R54" s="118">
        <f t="shared" ref="R54:R68" si="11">IF(I54="SI","",J54)</f>
        <v>5</v>
      </c>
      <c r="S54" s="122"/>
      <c r="T54" s="120"/>
      <c r="U54" s="120"/>
      <c r="V54" s="63"/>
      <c r="Z54" s="64"/>
    </row>
    <row r="55" spans="1:26" x14ac:dyDescent="0.3">
      <c r="A55" s="8">
        <v>201</v>
      </c>
      <c r="B55" s="8" t="s">
        <v>468</v>
      </c>
      <c r="C55" s="9" t="s">
        <v>8</v>
      </c>
      <c r="D55" s="10" t="s">
        <v>409</v>
      </c>
      <c r="E55" s="30" t="s">
        <v>410</v>
      </c>
      <c r="F55" s="12" t="s">
        <v>4</v>
      </c>
      <c r="G55" s="12" t="s">
        <v>16</v>
      </c>
      <c r="H55" s="12"/>
      <c r="I55" s="173" t="s">
        <v>511</v>
      </c>
      <c r="J55" s="12">
        <v>3</v>
      </c>
      <c r="K55" s="151" t="s">
        <v>496</v>
      </c>
      <c r="L55" s="9" t="s">
        <v>258</v>
      </c>
      <c r="M55" s="160"/>
      <c r="N55" s="9" t="s">
        <v>258</v>
      </c>
      <c r="O55" s="9"/>
      <c r="Q55" s="118" t="str">
        <f t="shared" si="10"/>
        <v/>
      </c>
      <c r="R55" s="118">
        <f t="shared" si="11"/>
        <v>3</v>
      </c>
      <c r="S55" s="122"/>
      <c r="T55" s="120"/>
      <c r="U55" s="120"/>
      <c r="V55" s="63"/>
      <c r="Z55" s="64"/>
    </row>
    <row r="56" spans="1:26" x14ac:dyDescent="0.3">
      <c r="A56" s="8">
        <v>202</v>
      </c>
      <c r="B56" s="8" t="s">
        <v>468</v>
      </c>
      <c r="C56" s="9" t="s">
        <v>8</v>
      </c>
      <c r="D56" s="10" t="s">
        <v>412</v>
      </c>
      <c r="E56" s="30" t="s">
        <v>413</v>
      </c>
      <c r="F56" s="12" t="s">
        <v>4</v>
      </c>
      <c r="G56" s="12" t="s">
        <v>16</v>
      </c>
      <c r="H56" s="12"/>
      <c r="I56" s="173" t="s">
        <v>511</v>
      </c>
      <c r="J56" s="12">
        <v>4</v>
      </c>
      <c r="K56" s="151" t="s">
        <v>496</v>
      </c>
      <c r="L56" s="9" t="s">
        <v>258</v>
      </c>
      <c r="M56" s="160"/>
      <c r="N56" s="9" t="s">
        <v>258</v>
      </c>
      <c r="O56" s="9"/>
      <c r="Q56" s="118" t="str">
        <f t="shared" si="10"/>
        <v/>
      </c>
      <c r="R56" s="118">
        <f t="shared" si="11"/>
        <v>4</v>
      </c>
      <c r="S56" s="122"/>
      <c r="T56" s="120"/>
      <c r="U56" s="120"/>
      <c r="V56" s="63"/>
      <c r="Z56" s="64"/>
    </row>
    <row r="57" spans="1:26" x14ac:dyDescent="0.3">
      <c r="A57" s="8">
        <v>163</v>
      </c>
      <c r="B57" s="8" t="s">
        <v>468</v>
      </c>
      <c r="C57" s="9" t="s">
        <v>8</v>
      </c>
      <c r="D57" s="10" t="s">
        <v>341</v>
      </c>
      <c r="E57" s="30" t="s">
        <v>342</v>
      </c>
      <c r="F57" s="12" t="s">
        <v>4</v>
      </c>
      <c r="G57" s="12" t="s">
        <v>16</v>
      </c>
      <c r="H57" s="12"/>
      <c r="I57" s="9" t="s">
        <v>13</v>
      </c>
      <c r="J57" s="12">
        <v>5</v>
      </c>
      <c r="K57" s="8" t="s">
        <v>261</v>
      </c>
      <c r="L57" s="9" t="s">
        <v>258</v>
      </c>
      <c r="M57" s="160"/>
      <c r="N57" s="9" t="s">
        <v>258</v>
      </c>
      <c r="O57" s="9"/>
      <c r="P57" s="10"/>
      <c r="Q57" s="118">
        <f t="shared" si="10"/>
        <v>5</v>
      </c>
      <c r="R57" s="118" t="str">
        <f t="shared" si="11"/>
        <v/>
      </c>
      <c r="S57" s="122"/>
      <c r="T57" s="120"/>
      <c r="U57" s="120"/>
      <c r="V57" s="63"/>
      <c r="Z57" s="64"/>
    </row>
    <row r="58" spans="1:26" x14ac:dyDescent="0.3">
      <c r="A58" s="8">
        <v>203</v>
      </c>
      <c r="B58" s="8" t="s">
        <v>468</v>
      </c>
      <c r="C58" s="9" t="s">
        <v>8</v>
      </c>
      <c r="D58" s="10" t="s">
        <v>415</v>
      </c>
      <c r="E58" s="30" t="s">
        <v>416</v>
      </c>
      <c r="F58" s="12" t="s">
        <v>4</v>
      </c>
      <c r="G58" s="12" t="s">
        <v>16</v>
      </c>
      <c r="H58" s="12"/>
      <c r="I58" s="173" t="s">
        <v>511</v>
      </c>
      <c r="J58" s="12">
        <v>4</v>
      </c>
      <c r="K58" s="151" t="s">
        <v>496</v>
      </c>
      <c r="L58" s="9" t="s">
        <v>258</v>
      </c>
      <c r="M58" s="160"/>
      <c r="N58" s="9" t="s">
        <v>258</v>
      </c>
      <c r="O58" s="9"/>
      <c r="Q58" s="118" t="str">
        <f t="shared" si="10"/>
        <v/>
      </c>
      <c r="R58" s="118">
        <f t="shared" si="11"/>
        <v>4</v>
      </c>
      <c r="S58" s="122"/>
      <c r="T58" s="120"/>
      <c r="U58" s="120"/>
      <c r="V58" s="63"/>
      <c r="Z58" s="64"/>
    </row>
    <row r="59" spans="1:26" x14ac:dyDescent="0.3">
      <c r="A59" s="8">
        <v>204</v>
      </c>
      <c r="B59" s="8" t="s">
        <v>468</v>
      </c>
      <c r="C59" s="9" t="s">
        <v>8</v>
      </c>
      <c r="D59" s="10" t="s">
        <v>418</v>
      </c>
      <c r="E59" s="30" t="s">
        <v>419</v>
      </c>
      <c r="F59" s="12" t="s">
        <v>4</v>
      </c>
      <c r="G59" s="12" t="s">
        <v>16</v>
      </c>
      <c r="H59" s="12"/>
      <c r="I59" s="173" t="s">
        <v>511</v>
      </c>
      <c r="J59" s="12">
        <v>4</v>
      </c>
      <c r="K59" s="151" t="s">
        <v>496</v>
      </c>
      <c r="L59" s="9" t="s">
        <v>258</v>
      </c>
      <c r="M59" s="160"/>
      <c r="N59" s="9" t="s">
        <v>258</v>
      </c>
      <c r="O59" s="9"/>
      <c r="Q59" s="118" t="str">
        <f t="shared" si="10"/>
        <v/>
      </c>
      <c r="R59" s="118">
        <f t="shared" si="11"/>
        <v>4</v>
      </c>
      <c r="S59" s="122"/>
      <c r="T59" s="120"/>
      <c r="U59" s="120"/>
      <c r="V59" s="63"/>
      <c r="Z59" s="64"/>
    </row>
    <row r="60" spans="1:26" x14ac:dyDescent="0.3">
      <c r="A60" s="8">
        <v>164</v>
      </c>
      <c r="B60" s="8" t="s">
        <v>468</v>
      </c>
      <c r="C60" s="9" t="s">
        <v>8</v>
      </c>
      <c r="D60" s="10" t="s">
        <v>343</v>
      </c>
      <c r="E60" s="30" t="s">
        <v>344</v>
      </c>
      <c r="F60" s="12" t="s">
        <v>4</v>
      </c>
      <c r="G60" s="12" t="s">
        <v>16</v>
      </c>
      <c r="H60" s="12"/>
      <c r="I60" s="9" t="s">
        <v>13</v>
      </c>
      <c r="J60" s="12">
        <v>4</v>
      </c>
      <c r="K60" s="8" t="s">
        <v>261</v>
      </c>
      <c r="L60" s="9" t="s">
        <v>258</v>
      </c>
      <c r="M60" s="160"/>
      <c r="N60" s="9" t="s">
        <v>258</v>
      </c>
      <c r="O60" s="9"/>
      <c r="P60" s="10"/>
      <c r="Q60" s="118">
        <f t="shared" si="10"/>
        <v>4</v>
      </c>
      <c r="R60" s="118" t="str">
        <f t="shared" si="11"/>
        <v/>
      </c>
      <c r="S60" s="122"/>
      <c r="T60" s="120"/>
      <c r="U60" s="120"/>
      <c r="V60" s="63"/>
      <c r="Z60" s="64"/>
    </row>
    <row r="61" spans="1:26" x14ac:dyDescent="0.3">
      <c r="A61" s="8">
        <v>205</v>
      </c>
      <c r="B61" s="8" t="s">
        <v>468</v>
      </c>
      <c r="C61" s="9" t="s">
        <v>8</v>
      </c>
      <c r="D61" s="10" t="s">
        <v>421</v>
      </c>
      <c r="E61" s="30" t="s">
        <v>422</v>
      </c>
      <c r="F61" s="12" t="s">
        <v>4</v>
      </c>
      <c r="G61" s="12" t="s">
        <v>16</v>
      </c>
      <c r="H61" s="12" t="s">
        <v>502</v>
      </c>
      <c r="I61" s="173" t="s">
        <v>511</v>
      </c>
      <c r="J61" s="12">
        <v>4</v>
      </c>
      <c r="K61" s="151" t="s">
        <v>496</v>
      </c>
      <c r="L61" s="9" t="s">
        <v>258</v>
      </c>
      <c r="M61" s="160"/>
      <c r="N61" s="9" t="s">
        <v>258</v>
      </c>
      <c r="O61" s="9"/>
      <c r="Q61" s="118" t="str">
        <f t="shared" si="10"/>
        <v/>
      </c>
      <c r="R61" s="118">
        <f t="shared" si="11"/>
        <v>4</v>
      </c>
      <c r="S61" s="122"/>
      <c r="T61" s="120"/>
      <c r="U61" s="120"/>
      <c r="V61" s="63"/>
      <c r="Z61" s="64"/>
    </row>
    <row r="62" spans="1:26" x14ac:dyDescent="0.3">
      <c r="A62" s="8">
        <v>206</v>
      </c>
      <c r="B62" s="8" t="s">
        <v>468</v>
      </c>
      <c r="C62" s="9" t="s">
        <v>8</v>
      </c>
      <c r="D62" s="10" t="s">
        <v>424</v>
      </c>
      <c r="E62" s="30" t="s">
        <v>425</v>
      </c>
      <c r="F62" s="12" t="s">
        <v>4</v>
      </c>
      <c r="G62" s="12" t="s">
        <v>16</v>
      </c>
      <c r="H62" s="12"/>
      <c r="I62" s="173" t="s">
        <v>511</v>
      </c>
      <c r="J62" s="12">
        <v>4</v>
      </c>
      <c r="K62" s="151" t="s">
        <v>496</v>
      </c>
      <c r="L62" s="9" t="s">
        <v>258</v>
      </c>
      <c r="M62" s="160"/>
      <c r="N62" s="9" t="s">
        <v>258</v>
      </c>
      <c r="O62" s="9"/>
      <c r="Q62" s="118" t="str">
        <f t="shared" si="10"/>
        <v/>
      </c>
      <c r="R62" s="118">
        <f t="shared" si="11"/>
        <v>4</v>
      </c>
      <c r="S62" s="122"/>
      <c r="T62" s="120"/>
      <c r="U62" s="120"/>
      <c r="V62" s="63"/>
      <c r="Z62" s="64"/>
    </row>
    <row r="63" spans="1:26" x14ac:dyDescent="0.3">
      <c r="A63" s="8">
        <v>207</v>
      </c>
      <c r="B63" s="8" t="s">
        <v>468</v>
      </c>
      <c r="C63" s="9" t="s">
        <v>8</v>
      </c>
      <c r="D63" s="10" t="s">
        <v>427</v>
      </c>
      <c r="E63" s="30" t="s">
        <v>428</v>
      </c>
      <c r="F63" s="12" t="s">
        <v>4</v>
      </c>
      <c r="G63" s="12" t="s">
        <v>16</v>
      </c>
      <c r="H63" s="12"/>
      <c r="I63" s="173" t="s">
        <v>511</v>
      </c>
      <c r="J63" s="12">
        <v>4</v>
      </c>
      <c r="K63" s="151" t="s">
        <v>496</v>
      </c>
      <c r="L63" s="9" t="s">
        <v>258</v>
      </c>
      <c r="M63" s="160"/>
      <c r="N63" s="9" t="s">
        <v>258</v>
      </c>
      <c r="O63" s="9"/>
      <c r="Q63" s="118" t="str">
        <f t="shared" si="10"/>
        <v/>
      </c>
      <c r="R63" s="118">
        <f t="shared" si="11"/>
        <v>4</v>
      </c>
      <c r="S63" s="122"/>
      <c r="T63" s="120"/>
      <c r="U63" s="120"/>
      <c r="V63" s="63"/>
      <c r="Z63" s="64"/>
    </row>
    <row r="64" spans="1:26" x14ac:dyDescent="0.3">
      <c r="A64" s="8">
        <v>165</v>
      </c>
      <c r="B64" s="8" t="s">
        <v>468</v>
      </c>
      <c r="C64" s="9" t="s">
        <v>8</v>
      </c>
      <c r="D64" s="10" t="s">
        <v>345</v>
      </c>
      <c r="E64" s="30" t="s">
        <v>346</v>
      </c>
      <c r="F64" s="12" t="s">
        <v>4</v>
      </c>
      <c r="G64" s="12" t="s">
        <v>16</v>
      </c>
      <c r="H64" s="12"/>
      <c r="I64" s="9" t="s">
        <v>13</v>
      </c>
      <c r="J64" s="12">
        <v>4</v>
      </c>
      <c r="K64" s="8" t="s">
        <v>261</v>
      </c>
      <c r="L64" s="9" t="s">
        <v>258</v>
      </c>
      <c r="M64" s="160"/>
      <c r="N64" s="9" t="s">
        <v>258</v>
      </c>
      <c r="O64" s="9"/>
      <c r="P64" s="10"/>
      <c r="Q64" s="118">
        <f t="shared" si="10"/>
        <v>4</v>
      </c>
      <c r="R64" s="118" t="str">
        <f t="shared" si="11"/>
        <v/>
      </c>
      <c r="S64" s="122"/>
      <c r="T64" s="120"/>
      <c r="U64" s="120"/>
      <c r="V64" s="63"/>
      <c r="Z64" s="64"/>
    </row>
    <row r="65" spans="1:26" x14ac:dyDescent="0.3">
      <c r="A65" s="8">
        <v>166</v>
      </c>
      <c r="B65" s="8" t="s">
        <v>468</v>
      </c>
      <c r="C65" s="9" t="s">
        <v>8</v>
      </c>
      <c r="D65" s="10" t="s">
        <v>347</v>
      </c>
      <c r="E65" s="30" t="s">
        <v>348</v>
      </c>
      <c r="F65" s="12" t="s">
        <v>4</v>
      </c>
      <c r="G65" s="12" t="s">
        <v>16</v>
      </c>
      <c r="H65" s="12"/>
      <c r="I65" s="9" t="s">
        <v>13</v>
      </c>
      <c r="J65" s="12">
        <v>4</v>
      </c>
      <c r="K65" s="8" t="s">
        <v>261</v>
      </c>
      <c r="L65" s="9" t="s">
        <v>258</v>
      </c>
      <c r="M65" s="160"/>
      <c r="N65" s="9" t="s">
        <v>258</v>
      </c>
      <c r="O65" s="9"/>
      <c r="P65" s="10"/>
      <c r="Q65" s="118">
        <f t="shared" si="10"/>
        <v>4</v>
      </c>
      <c r="R65" s="118" t="str">
        <f t="shared" si="11"/>
        <v/>
      </c>
      <c r="S65" s="122"/>
      <c r="T65" s="120"/>
      <c r="U65" s="120"/>
      <c r="V65" s="63"/>
      <c r="Z65" s="64"/>
    </row>
    <row r="66" spans="1:26" x14ac:dyDescent="0.3">
      <c r="A66" s="8">
        <v>167</v>
      </c>
      <c r="B66" s="8" t="s">
        <v>468</v>
      </c>
      <c r="C66" s="9" t="s">
        <v>8</v>
      </c>
      <c r="D66" s="10" t="s">
        <v>349</v>
      </c>
      <c r="E66" s="30" t="s">
        <v>350</v>
      </c>
      <c r="F66" s="12" t="s">
        <v>4</v>
      </c>
      <c r="G66" s="12" t="s">
        <v>16</v>
      </c>
      <c r="H66" s="12"/>
      <c r="I66" s="9" t="s">
        <v>13</v>
      </c>
      <c r="J66" s="12">
        <v>3</v>
      </c>
      <c r="K66" s="8" t="s">
        <v>261</v>
      </c>
      <c r="L66" s="9" t="s">
        <v>258</v>
      </c>
      <c r="M66" s="160"/>
      <c r="N66" s="9" t="s">
        <v>258</v>
      </c>
      <c r="O66" s="9"/>
      <c r="P66" s="10"/>
      <c r="Q66" s="118">
        <f t="shared" si="10"/>
        <v>3</v>
      </c>
      <c r="R66" s="118" t="str">
        <f t="shared" si="11"/>
        <v/>
      </c>
      <c r="S66" s="122"/>
      <c r="T66" s="120"/>
      <c r="U66" s="120"/>
      <c r="V66" s="63"/>
      <c r="Z66" s="64"/>
    </row>
    <row r="67" spans="1:26" x14ac:dyDescent="0.3">
      <c r="A67" s="8">
        <v>168</v>
      </c>
      <c r="B67" s="8" t="s">
        <v>468</v>
      </c>
      <c r="C67" s="9" t="s">
        <v>8</v>
      </c>
      <c r="D67" s="10" t="s">
        <v>351</v>
      </c>
      <c r="E67" s="30" t="s">
        <v>352</v>
      </c>
      <c r="F67" s="12" t="s">
        <v>4</v>
      </c>
      <c r="G67" s="12" t="s">
        <v>16</v>
      </c>
      <c r="H67" s="12"/>
      <c r="I67" s="9" t="s">
        <v>13</v>
      </c>
      <c r="J67" s="12">
        <v>3</v>
      </c>
      <c r="K67" s="8" t="s">
        <v>261</v>
      </c>
      <c r="L67" s="9" t="s">
        <v>258</v>
      </c>
      <c r="M67" s="160"/>
      <c r="N67" s="9" t="s">
        <v>258</v>
      </c>
      <c r="O67" s="9"/>
      <c r="P67" s="10"/>
      <c r="Q67" s="118">
        <f t="shared" si="10"/>
        <v>3</v>
      </c>
      <c r="R67" s="118" t="str">
        <f t="shared" si="11"/>
        <v/>
      </c>
      <c r="S67" s="122"/>
      <c r="T67" s="120"/>
      <c r="U67" s="120"/>
      <c r="V67" s="63"/>
      <c r="Z67" s="64"/>
    </row>
    <row r="68" spans="1:26" x14ac:dyDescent="0.3">
      <c r="A68" s="8">
        <v>169</v>
      </c>
      <c r="B68" s="8" t="s">
        <v>468</v>
      </c>
      <c r="C68" s="9" t="s">
        <v>8</v>
      </c>
      <c r="D68" s="10" t="s">
        <v>353</v>
      </c>
      <c r="E68" s="30" t="s">
        <v>354</v>
      </c>
      <c r="F68" s="12" t="s">
        <v>4</v>
      </c>
      <c r="G68" s="12" t="s">
        <v>16</v>
      </c>
      <c r="H68" s="12"/>
      <c r="I68" s="9" t="s">
        <v>13</v>
      </c>
      <c r="J68" s="12">
        <v>6</v>
      </c>
      <c r="K68" s="8" t="s">
        <v>261</v>
      </c>
      <c r="L68" s="9" t="s">
        <v>258</v>
      </c>
      <c r="M68" s="160"/>
      <c r="N68" s="9" t="s">
        <v>258</v>
      </c>
      <c r="O68" s="9"/>
      <c r="P68" s="10"/>
      <c r="Q68" s="118">
        <f t="shared" si="10"/>
        <v>6</v>
      </c>
      <c r="R68" s="118" t="str">
        <f t="shared" si="11"/>
        <v/>
      </c>
      <c r="S68" s="122"/>
      <c r="T68" s="120"/>
      <c r="U68" s="120"/>
      <c r="V68" s="63"/>
      <c r="Z68" s="64"/>
    </row>
    <row r="69" spans="1:26" x14ac:dyDescent="0.3">
      <c r="A69" s="8">
        <v>170</v>
      </c>
      <c r="B69" s="8" t="s">
        <v>468</v>
      </c>
      <c r="C69" s="9" t="s">
        <v>8</v>
      </c>
      <c r="D69" s="10" t="s">
        <v>355</v>
      </c>
      <c r="E69" s="30" t="s">
        <v>356</v>
      </c>
      <c r="F69" s="12" t="s">
        <v>4</v>
      </c>
      <c r="G69" s="12" t="s">
        <v>16</v>
      </c>
      <c r="H69" s="12"/>
      <c r="I69" s="9" t="s">
        <v>13</v>
      </c>
      <c r="J69" s="12">
        <v>4</v>
      </c>
      <c r="K69" s="8" t="s">
        <v>261</v>
      </c>
      <c r="L69" s="9" t="s">
        <v>258</v>
      </c>
      <c r="M69" s="160"/>
      <c r="N69" s="9" t="s">
        <v>258</v>
      </c>
      <c r="O69" s="9"/>
      <c r="P69" s="10"/>
      <c r="Q69" s="118">
        <f t="shared" ref="Q69:Q96" si="12">IF(I69="SI",J69,"")</f>
        <v>4</v>
      </c>
      <c r="R69" s="118" t="str">
        <f t="shared" ref="R69:R96" si="13">IF(I69="SI","",J69)</f>
        <v/>
      </c>
      <c r="S69" s="122"/>
      <c r="T69" s="120"/>
      <c r="U69" s="120"/>
      <c r="V69" s="63"/>
      <c r="Z69" s="64"/>
    </row>
    <row r="70" spans="1:26" x14ac:dyDescent="0.3">
      <c r="A70" s="8">
        <v>171</v>
      </c>
      <c r="B70" s="8" t="s">
        <v>468</v>
      </c>
      <c r="C70" s="9" t="s">
        <v>8</v>
      </c>
      <c r="D70" s="10" t="s">
        <v>357</v>
      </c>
      <c r="E70" s="30" t="s">
        <v>358</v>
      </c>
      <c r="F70" s="12" t="s">
        <v>4</v>
      </c>
      <c r="G70" s="12" t="s">
        <v>16</v>
      </c>
      <c r="H70" s="12"/>
      <c r="I70" s="9" t="s">
        <v>13</v>
      </c>
      <c r="J70" s="12">
        <v>3</v>
      </c>
      <c r="K70" s="8" t="s">
        <v>261</v>
      </c>
      <c r="L70" s="9" t="s">
        <v>258</v>
      </c>
      <c r="M70" s="160"/>
      <c r="N70" s="9" t="s">
        <v>258</v>
      </c>
      <c r="O70" s="9"/>
      <c r="P70" s="10"/>
      <c r="Q70" s="118">
        <f t="shared" si="12"/>
        <v>3</v>
      </c>
      <c r="R70" s="118" t="str">
        <f t="shared" si="13"/>
        <v/>
      </c>
      <c r="S70" s="122"/>
      <c r="T70" s="120"/>
      <c r="U70" s="120"/>
      <c r="V70" s="63"/>
      <c r="Z70" s="64"/>
    </row>
    <row r="71" spans="1:26" x14ac:dyDescent="0.3">
      <c r="A71" s="8">
        <v>172</v>
      </c>
      <c r="B71" s="8" t="s">
        <v>468</v>
      </c>
      <c r="C71" s="9" t="s">
        <v>8</v>
      </c>
      <c r="D71" s="10" t="s">
        <v>359</v>
      </c>
      <c r="E71" s="30" t="s">
        <v>360</v>
      </c>
      <c r="F71" s="12" t="s">
        <v>4</v>
      </c>
      <c r="G71" s="12" t="s">
        <v>16</v>
      </c>
      <c r="H71" s="12"/>
      <c r="I71" s="9" t="s">
        <v>13</v>
      </c>
      <c r="J71" s="12">
        <v>3</v>
      </c>
      <c r="K71" s="8" t="s">
        <v>261</v>
      </c>
      <c r="L71" s="9" t="s">
        <v>258</v>
      </c>
      <c r="M71" s="160"/>
      <c r="N71" s="9" t="s">
        <v>258</v>
      </c>
      <c r="O71" s="9"/>
      <c r="P71" s="10"/>
      <c r="Q71" s="118">
        <f t="shared" si="12"/>
        <v>3</v>
      </c>
      <c r="R71" s="118" t="str">
        <f t="shared" si="13"/>
        <v/>
      </c>
      <c r="S71" s="122"/>
      <c r="T71" s="120"/>
      <c r="U71" s="120"/>
      <c r="V71" s="63"/>
      <c r="Z71" s="64"/>
    </row>
    <row r="72" spans="1:26" x14ac:dyDescent="0.3">
      <c r="A72" s="8">
        <v>173</v>
      </c>
      <c r="B72" s="8" t="s">
        <v>468</v>
      </c>
      <c r="C72" s="9" t="s">
        <v>8</v>
      </c>
      <c r="D72" s="10" t="s">
        <v>361</v>
      </c>
      <c r="E72" s="30" t="s">
        <v>362</v>
      </c>
      <c r="F72" s="12" t="s">
        <v>4</v>
      </c>
      <c r="G72" s="12" t="s">
        <v>16</v>
      </c>
      <c r="H72" s="12"/>
      <c r="I72" s="9" t="s">
        <v>13</v>
      </c>
      <c r="J72" s="12">
        <v>3</v>
      </c>
      <c r="K72" s="8" t="s">
        <v>261</v>
      </c>
      <c r="L72" s="9" t="s">
        <v>258</v>
      </c>
      <c r="M72" s="160"/>
      <c r="N72" s="9" t="s">
        <v>258</v>
      </c>
      <c r="O72" s="9"/>
      <c r="P72" s="10"/>
      <c r="Q72" s="118">
        <f t="shared" si="12"/>
        <v>3</v>
      </c>
      <c r="R72" s="118" t="str">
        <f t="shared" si="13"/>
        <v/>
      </c>
      <c r="S72" s="122"/>
      <c r="T72" s="120"/>
      <c r="U72" s="120"/>
      <c r="V72" s="63"/>
      <c r="Z72" s="64"/>
    </row>
    <row r="73" spans="1:26" x14ac:dyDescent="0.3">
      <c r="A73" s="8">
        <v>174</v>
      </c>
      <c r="B73" s="8" t="s">
        <v>468</v>
      </c>
      <c r="C73" s="9" t="s">
        <v>8</v>
      </c>
      <c r="D73" s="10" t="s">
        <v>363</v>
      </c>
      <c r="E73" s="30" t="s">
        <v>364</v>
      </c>
      <c r="F73" s="12" t="s">
        <v>4</v>
      </c>
      <c r="G73" s="12" t="s">
        <v>16</v>
      </c>
      <c r="H73" s="12"/>
      <c r="I73" s="9" t="s">
        <v>13</v>
      </c>
      <c r="J73" s="12">
        <v>4</v>
      </c>
      <c r="K73" s="8" t="s">
        <v>261</v>
      </c>
      <c r="L73" s="9" t="s">
        <v>258</v>
      </c>
      <c r="M73" s="160"/>
      <c r="N73" s="9" t="s">
        <v>258</v>
      </c>
      <c r="O73" s="9"/>
      <c r="P73" s="10"/>
      <c r="Q73" s="118">
        <f t="shared" si="12"/>
        <v>4</v>
      </c>
      <c r="R73" s="118" t="str">
        <f t="shared" si="13"/>
        <v/>
      </c>
      <c r="S73" s="122"/>
      <c r="T73" s="120"/>
      <c r="U73" s="120"/>
      <c r="V73" s="63"/>
      <c r="Z73" s="64"/>
    </row>
    <row r="74" spans="1:26" x14ac:dyDescent="0.3">
      <c r="A74" s="8">
        <v>175</v>
      </c>
      <c r="B74" s="8" t="s">
        <v>468</v>
      </c>
      <c r="C74" s="9" t="s">
        <v>157</v>
      </c>
      <c r="D74" s="10" t="s">
        <v>365</v>
      </c>
      <c r="E74" s="30">
        <v>3097</v>
      </c>
      <c r="F74" s="12" t="s">
        <v>4</v>
      </c>
      <c r="G74" s="12" t="s">
        <v>16</v>
      </c>
      <c r="H74" s="12"/>
      <c r="I74" s="9" t="s">
        <v>13</v>
      </c>
      <c r="J74" s="12">
        <v>2</v>
      </c>
      <c r="K74" s="8" t="s">
        <v>261</v>
      </c>
      <c r="L74" s="9" t="s">
        <v>258</v>
      </c>
      <c r="M74" s="160"/>
      <c r="N74" s="9" t="s">
        <v>258</v>
      </c>
      <c r="O74" s="9"/>
      <c r="P74" s="10"/>
      <c r="Q74" s="118">
        <f t="shared" si="12"/>
        <v>2</v>
      </c>
      <c r="R74" s="118" t="str">
        <f t="shared" si="13"/>
        <v/>
      </c>
      <c r="S74" s="122"/>
      <c r="T74" s="120"/>
      <c r="U74" s="120"/>
      <c r="V74" s="63"/>
      <c r="Z74" s="64"/>
    </row>
    <row r="75" spans="1:26" x14ac:dyDescent="0.3">
      <c r="A75" s="8">
        <v>176</v>
      </c>
      <c r="B75" s="8" t="s">
        <v>468</v>
      </c>
      <c r="C75" s="9" t="s">
        <v>157</v>
      </c>
      <c r="D75" s="10" t="s">
        <v>366</v>
      </c>
      <c r="E75" s="30">
        <v>4123</v>
      </c>
      <c r="F75" s="12" t="s">
        <v>4</v>
      </c>
      <c r="G75" s="16" t="s">
        <v>16</v>
      </c>
      <c r="H75" s="16"/>
      <c r="I75" s="9" t="s">
        <v>13</v>
      </c>
      <c r="J75" s="12">
        <v>4</v>
      </c>
      <c r="K75" s="8" t="s">
        <v>261</v>
      </c>
      <c r="L75" s="9" t="s">
        <v>258</v>
      </c>
      <c r="M75" s="160"/>
      <c r="N75" s="9" t="s">
        <v>258</v>
      </c>
      <c r="O75" s="9"/>
      <c r="P75" s="10"/>
      <c r="Q75" s="118">
        <f t="shared" si="12"/>
        <v>4</v>
      </c>
      <c r="R75" s="118" t="str">
        <f t="shared" si="13"/>
        <v/>
      </c>
      <c r="S75" s="122"/>
      <c r="T75" s="120"/>
      <c r="U75" s="120"/>
      <c r="V75" s="63"/>
      <c r="Z75" s="64"/>
    </row>
    <row r="76" spans="1:26" x14ac:dyDescent="0.3">
      <c r="A76" s="8">
        <v>177</v>
      </c>
      <c r="B76" s="8" t="s">
        <v>468</v>
      </c>
      <c r="C76" s="9" t="s">
        <v>157</v>
      </c>
      <c r="D76" s="10" t="s">
        <v>367</v>
      </c>
      <c r="E76" s="30">
        <v>4124</v>
      </c>
      <c r="F76" s="12" t="s">
        <v>4</v>
      </c>
      <c r="G76" s="12" t="s">
        <v>16</v>
      </c>
      <c r="H76" s="12"/>
      <c r="I76" s="9" t="s">
        <v>13</v>
      </c>
      <c r="J76" s="12">
        <v>3</v>
      </c>
      <c r="K76" s="67" t="s">
        <v>256</v>
      </c>
      <c r="L76" s="9" t="s">
        <v>258</v>
      </c>
      <c r="M76" s="160"/>
      <c r="N76" s="9" t="s">
        <v>258</v>
      </c>
      <c r="O76" s="9"/>
      <c r="P76" s="10"/>
      <c r="Q76" s="118">
        <f t="shared" si="12"/>
        <v>3</v>
      </c>
      <c r="R76" s="118" t="str">
        <f t="shared" si="13"/>
        <v/>
      </c>
      <c r="S76" s="122"/>
      <c r="T76" s="120"/>
      <c r="U76" s="120"/>
      <c r="V76" s="63"/>
      <c r="Z76" s="64"/>
    </row>
    <row r="77" spans="1:26" x14ac:dyDescent="0.3">
      <c r="A77" s="8">
        <v>178</v>
      </c>
      <c r="B77" s="8" t="s">
        <v>468</v>
      </c>
      <c r="C77" s="9" t="s">
        <v>157</v>
      </c>
      <c r="D77" s="10" t="s">
        <v>368</v>
      </c>
      <c r="E77" s="30">
        <v>4006</v>
      </c>
      <c r="F77" s="12" t="s">
        <v>4</v>
      </c>
      <c r="G77" s="12" t="s">
        <v>16</v>
      </c>
      <c r="H77" s="12"/>
      <c r="I77" s="9" t="s">
        <v>13</v>
      </c>
      <c r="J77" s="18">
        <v>4</v>
      </c>
      <c r="K77" s="67" t="s">
        <v>256</v>
      </c>
      <c r="L77" s="9" t="s">
        <v>258</v>
      </c>
      <c r="M77" s="160"/>
      <c r="N77" s="9" t="s">
        <v>258</v>
      </c>
      <c r="O77" s="9"/>
      <c r="P77" s="10"/>
      <c r="Q77" s="118">
        <f t="shared" si="12"/>
        <v>4</v>
      </c>
      <c r="R77" s="118" t="str">
        <f t="shared" si="13"/>
        <v/>
      </c>
      <c r="S77" s="122"/>
      <c r="T77" s="120"/>
      <c r="U77" s="120"/>
      <c r="V77" s="63"/>
      <c r="Z77" s="64"/>
    </row>
    <row r="78" spans="1:26" x14ac:dyDescent="0.3">
      <c r="A78" s="8">
        <v>179</v>
      </c>
      <c r="B78" s="8" t="s">
        <v>468</v>
      </c>
      <c r="C78" s="9" t="s">
        <v>157</v>
      </c>
      <c r="D78" s="10" t="s">
        <v>369</v>
      </c>
      <c r="E78" s="30">
        <v>2079</v>
      </c>
      <c r="F78" s="12" t="s">
        <v>4</v>
      </c>
      <c r="G78" s="16" t="s">
        <v>16</v>
      </c>
      <c r="H78" s="16"/>
      <c r="I78" s="9" t="s">
        <v>13</v>
      </c>
      <c r="J78" s="12">
        <v>2</v>
      </c>
      <c r="K78" s="67" t="s">
        <v>256</v>
      </c>
      <c r="L78" s="9" t="s">
        <v>258</v>
      </c>
      <c r="M78" s="160"/>
      <c r="N78" s="9" t="s">
        <v>258</v>
      </c>
      <c r="O78" s="9"/>
      <c r="P78" s="10"/>
      <c r="Q78" s="118">
        <f t="shared" si="12"/>
        <v>2</v>
      </c>
      <c r="R78" s="118" t="str">
        <f t="shared" si="13"/>
        <v/>
      </c>
      <c r="S78" s="122"/>
      <c r="T78" s="120"/>
      <c r="U78" s="120"/>
      <c r="V78" s="63"/>
      <c r="Z78" s="64"/>
    </row>
    <row r="79" spans="1:26" x14ac:dyDescent="0.3">
      <c r="A79" s="8">
        <v>180</v>
      </c>
      <c r="B79" s="8" t="s">
        <v>468</v>
      </c>
      <c r="C79" s="9" t="s">
        <v>157</v>
      </c>
      <c r="D79" s="10" t="s">
        <v>370</v>
      </c>
      <c r="E79" s="30">
        <v>2011</v>
      </c>
      <c r="F79" s="12" t="s">
        <v>4</v>
      </c>
      <c r="G79" s="16" t="s">
        <v>16</v>
      </c>
      <c r="H79" s="16"/>
      <c r="I79" s="9" t="s">
        <v>13</v>
      </c>
      <c r="J79" s="12">
        <v>6</v>
      </c>
      <c r="K79" s="8" t="s">
        <v>261</v>
      </c>
      <c r="L79" s="9" t="s">
        <v>258</v>
      </c>
      <c r="M79" s="160"/>
      <c r="N79" s="9" t="s">
        <v>258</v>
      </c>
      <c r="O79" s="9"/>
      <c r="P79" s="10"/>
      <c r="Q79" s="118">
        <f t="shared" si="12"/>
        <v>6</v>
      </c>
      <c r="R79" s="118" t="str">
        <f t="shared" si="13"/>
        <v/>
      </c>
      <c r="S79" s="122"/>
      <c r="T79" s="120"/>
      <c r="U79" s="120"/>
      <c r="V79" s="63"/>
      <c r="Z79" s="64"/>
    </row>
    <row r="80" spans="1:26" x14ac:dyDescent="0.3">
      <c r="A80" s="8">
        <v>181</v>
      </c>
      <c r="B80" s="8" t="s">
        <v>468</v>
      </c>
      <c r="C80" s="9" t="s">
        <v>157</v>
      </c>
      <c r="D80" s="10" t="s">
        <v>371</v>
      </c>
      <c r="E80" s="30">
        <v>4140</v>
      </c>
      <c r="F80" s="12" t="s">
        <v>4</v>
      </c>
      <c r="G80" s="16" t="s">
        <v>16</v>
      </c>
      <c r="H80" s="16"/>
      <c r="I80" s="9" t="s">
        <v>13</v>
      </c>
      <c r="J80" s="12">
        <v>2</v>
      </c>
      <c r="K80" s="67" t="s">
        <v>256</v>
      </c>
      <c r="L80" s="9" t="s">
        <v>258</v>
      </c>
      <c r="M80" s="160"/>
      <c r="N80" s="9" t="s">
        <v>258</v>
      </c>
      <c r="O80" s="9"/>
      <c r="P80" s="10"/>
      <c r="Q80" s="118">
        <f t="shared" si="12"/>
        <v>2</v>
      </c>
      <c r="R80" s="118" t="str">
        <f t="shared" si="13"/>
        <v/>
      </c>
      <c r="S80" s="122"/>
      <c r="T80" s="120"/>
      <c r="U80" s="120"/>
      <c r="V80" s="63"/>
      <c r="Z80" s="64"/>
    </row>
    <row r="81" spans="1:26" x14ac:dyDescent="0.3">
      <c r="A81" s="8">
        <v>182</v>
      </c>
      <c r="B81" s="8" t="s">
        <v>468</v>
      </c>
      <c r="C81" s="9" t="s">
        <v>157</v>
      </c>
      <c r="D81" s="10" t="s">
        <v>372</v>
      </c>
      <c r="E81" s="30">
        <v>5106</v>
      </c>
      <c r="F81" s="12" t="s">
        <v>4</v>
      </c>
      <c r="G81" s="16" t="s">
        <v>16</v>
      </c>
      <c r="H81" s="16"/>
      <c r="I81" s="9" t="s">
        <v>13</v>
      </c>
      <c r="J81" s="12">
        <v>2</v>
      </c>
      <c r="K81" s="8" t="s">
        <v>261</v>
      </c>
      <c r="L81" s="9" t="s">
        <v>258</v>
      </c>
      <c r="M81" s="160"/>
      <c r="N81" s="9" t="s">
        <v>258</v>
      </c>
      <c r="O81" s="9"/>
      <c r="P81" s="10"/>
      <c r="Q81" s="118">
        <f t="shared" si="12"/>
        <v>2</v>
      </c>
      <c r="R81" s="118" t="str">
        <f t="shared" si="13"/>
        <v/>
      </c>
      <c r="S81" s="122"/>
      <c r="T81" s="120"/>
      <c r="U81" s="120"/>
      <c r="V81" s="63"/>
      <c r="Z81" s="64"/>
    </row>
    <row r="82" spans="1:26" x14ac:dyDescent="0.3">
      <c r="A82" s="8">
        <v>183</v>
      </c>
      <c r="B82" s="8" t="s">
        <v>468</v>
      </c>
      <c r="C82" s="9" t="s">
        <v>157</v>
      </c>
      <c r="D82" s="10" t="s">
        <v>373</v>
      </c>
      <c r="E82" s="30">
        <v>2028</v>
      </c>
      <c r="F82" s="12" t="s">
        <v>4</v>
      </c>
      <c r="G82" s="12" t="s">
        <v>16</v>
      </c>
      <c r="H82" s="12" t="s">
        <v>502</v>
      </c>
      <c r="I82" s="9" t="s">
        <v>13</v>
      </c>
      <c r="J82" s="18">
        <v>3</v>
      </c>
      <c r="K82" s="8" t="s">
        <v>261</v>
      </c>
      <c r="L82" s="9" t="s">
        <v>258</v>
      </c>
      <c r="M82" s="160"/>
      <c r="N82" s="9" t="s">
        <v>258</v>
      </c>
      <c r="O82" s="9"/>
      <c r="P82" s="10"/>
      <c r="Q82" s="118">
        <f t="shared" si="12"/>
        <v>3</v>
      </c>
      <c r="R82" s="118" t="str">
        <f t="shared" si="13"/>
        <v/>
      </c>
      <c r="S82" s="122"/>
      <c r="T82" s="120"/>
      <c r="U82" s="120"/>
      <c r="V82" s="63"/>
      <c r="Z82" s="64"/>
    </row>
    <row r="83" spans="1:26" x14ac:dyDescent="0.3">
      <c r="A83" s="8">
        <v>184</v>
      </c>
      <c r="B83" s="8" t="s">
        <v>468</v>
      </c>
      <c r="C83" s="9" t="s">
        <v>157</v>
      </c>
      <c r="D83" s="10" t="s">
        <v>374</v>
      </c>
      <c r="E83" s="30">
        <v>2029</v>
      </c>
      <c r="F83" s="12" t="s">
        <v>4</v>
      </c>
      <c r="G83" s="12" t="s">
        <v>16</v>
      </c>
      <c r="H83" s="12" t="s">
        <v>502</v>
      </c>
      <c r="I83" s="9" t="s">
        <v>13</v>
      </c>
      <c r="J83" s="19">
        <v>5</v>
      </c>
      <c r="K83" s="8" t="s">
        <v>261</v>
      </c>
      <c r="L83" s="9" t="s">
        <v>258</v>
      </c>
      <c r="M83" s="160"/>
      <c r="N83" s="9" t="s">
        <v>258</v>
      </c>
      <c r="O83" s="9"/>
      <c r="P83" s="10"/>
      <c r="Q83" s="118">
        <f t="shared" si="12"/>
        <v>5</v>
      </c>
      <c r="R83" s="118" t="str">
        <f t="shared" si="13"/>
        <v/>
      </c>
      <c r="S83" s="122"/>
      <c r="T83" s="120"/>
      <c r="U83" s="120"/>
      <c r="V83" s="63"/>
      <c r="Z83" s="64"/>
    </row>
    <row r="84" spans="1:26" x14ac:dyDescent="0.3">
      <c r="A84" s="8">
        <v>185</v>
      </c>
      <c r="B84" s="8" t="s">
        <v>468</v>
      </c>
      <c r="C84" s="9" t="s">
        <v>157</v>
      </c>
      <c r="D84" s="10" t="s">
        <v>375</v>
      </c>
      <c r="E84" s="30">
        <v>2066</v>
      </c>
      <c r="F84" s="12" t="s">
        <v>4</v>
      </c>
      <c r="G84" s="12" t="s">
        <v>16</v>
      </c>
      <c r="H84" s="12" t="s">
        <v>502</v>
      </c>
      <c r="I84" s="9" t="s">
        <v>13</v>
      </c>
      <c r="J84" s="20">
        <v>4</v>
      </c>
      <c r="K84" s="8" t="s">
        <v>261</v>
      </c>
      <c r="L84" s="9" t="s">
        <v>258</v>
      </c>
      <c r="M84" s="160"/>
      <c r="N84" s="9" t="s">
        <v>258</v>
      </c>
      <c r="O84" s="9"/>
      <c r="P84" s="10"/>
      <c r="Q84" s="118">
        <f t="shared" si="12"/>
        <v>4</v>
      </c>
      <c r="R84" s="118" t="str">
        <f t="shared" si="13"/>
        <v/>
      </c>
      <c r="S84" s="122"/>
      <c r="T84" s="120"/>
      <c r="U84" s="120"/>
      <c r="V84" s="63"/>
      <c r="Z84" s="64"/>
    </row>
    <row r="85" spans="1:26" x14ac:dyDescent="0.3">
      <c r="A85" s="8">
        <v>186</v>
      </c>
      <c r="B85" s="8" t="s">
        <v>468</v>
      </c>
      <c r="C85" s="9" t="s">
        <v>157</v>
      </c>
      <c r="D85" s="10" t="s">
        <v>376</v>
      </c>
      <c r="E85" s="30">
        <v>2083</v>
      </c>
      <c r="F85" s="12" t="s">
        <v>4</v>
      </c>
      <c r="G85" s="12" t="s">
        <v>16</v>
      </c>
      <c r="H85" s="12" t="s">
        <v>502</v>
      </c>
      <c r="I85" s="9" t="s">
        <v>13</v>
      </c>
      <c r="J85" s="20">
        <v>3</v>
      </c>
      <c r="K85" s="8" t="s">
        <v>261</v>
      </c>
      <c r="L85" s="9" t="s">
        <v>258</v>
      </c>
      <c r="M85" s="160"/>
      <c r="N85" s="9" t="s">
        <v>258</v>
      </c>
      <c r="O85" s="9"/>
      <c r="P85" s="10"/>
      <c r="Q85" s="118">
        <f t="shared" si="12"/>
        <v>3</v>
      </c>
      <c r="R85" s="118" t="str">
        <f t="shared" si="13"/>
        <v/>
      </c>
      <c r="S85" s="122"/>
      <c r="T85" s="120"/>
      <c r="U85" s="120"/>
      <c r="V85" s="63"/>
      <c r="Z85" s="64"/>
    </row>
    <row r="86" spans="1:26" x14ac:dyDescent="0.3">
      <c r="A86" s="8">
        <v>187</v>
      </c>
      <c r="B86" s="8" t="s">
        <v>468</v>
      </c>
      <c r="C86" s="9" t="s">
        <v>157</v>
      </c>
      <c r="D86" s="10" t="s">
        <v>377</v>
      </c>
      <c r="E86" s="30">
        <v>4020</v>
      </c>
      <c r="F86" s="12" t="s">
        <v>4</v>
      </c>
      <c r="G86" s="12" t="s">
        <v>16</v>
      </c>
      <c r="H86" s="12" t="s">
        <v>502</v>
      </c>
      <c r="I86" s="9" t="s">
        <v>13</v>
      </c>
      <c r="J86" s="12">
        <v>2</v>
      </c>
      <c r="K86" s="8" t="s">
        <v>261</v>
      </c>
      <c r="L86" s="9" t="s">
        <v>258</v>
      </c>
      <c r="M86" s="160"/>
      <c r="N86" s="9" t="s">
        <v>258</v>
      </c>
      <c r="O86" s="9"/>
      <c r="P86" s="10"/>
      <c r="Q86" s="118">
        <f t="shared" si="12"/>
        <v>2</v>
      </c>
      <c r="R86" s="118" t="str">
        <f t="shared" si="13"/>
        <v/>
      </c>
      <c r="S86" s="122"/>
      <c r="T86" s="120"/>
      <c r="U86" s="120"/>
      <c r="V86" s="63"/>
      <c r="Z86" s="64"/>
    </row>
    <row r="87" spans="1:26" x14ac:dyDescent="0.3">
      <c r="A87" s="8">
        <v>188</v>
      </c>
      <c r="B87" s="8" t="s">
        <v>468</v>
      </c>
      <c r="C87" s="9" t="s">
        <v>157</v>
      </c>
      <c r="D87" s="10" t="s">
        <v>378</v>
      </c>
      <c r="E87" s="30">
        <v>6061</v>
      </c>
      <c r="F87" s="12" t="s">
        <v>4</v>
      </c>
      <c r="G87" s="12" t="s">
        <v>16</v>
      </c>
      <c r="H87" s="12" t="s">
        <v>502</v>
      </c>
      <c r="I87" s="9" t="s">
        <v>13</v>
      </c>
      <c r="J87" s="12">
        <v>2</v>
      </c>
      <c r="K87" s="8" t="s">
        <v>261</v>
      </c>
      <c r="L87" s="9" t="s">
        <v>258</v>
      </c>
      <c r="M87" s="160"/>
      <c r="N87" s="9" t="s">
        <v>258</v>
      </c>
      <c r="O87" s="9"/>
      <c r="P87" s="10"/>
      <c r="Q87" s="118">
        <f t="shared" si="12"/>
        <v>2</v>
      </c>
      <c r="R87" s="118" t="str">
        <f t="shared" si="13"/>
        <v/>
      </c>
      <c r="S87" s="122"/>
      <c r="T87" s="120"/>
      <c r="U87" s="120"/>
      <c r="V87" s="63"/>
      <c r="Z87" s="64"/>
    </row>
    <row r="88" spans="1:26" x14ac:dyDescent="0.3">
      <c r="A88" s="8">
        <v>189</v>
      </c>
      <c r="B88" s="8" t="s">
        <v>468</v>
      </c>
      <c r="C88" s="9" t="s">
        <v>157</v>
      </c>
      <c r="D88" s="10" t="s">
        <v>379</v>
      </c>
      <c r="E88" s="30">
        <v>7057</v>
      </c>
      <c r="F88" s="12" t="s">
        <v>4</v>
      </c>
      <c r="G88" s="13" t="s">
        <v>16</v>
      </c>
      <c r="H88" s="13"/>
      <c r="I88" s="9" t="s">
        <v>13</v>
      </c>
      <c r="J88" s="15">
        <v>3</v>
      </c>
      <c r="K88" s="8" t="s">
        <v>261</v>
      </c>
      <c r="L88" s="9" t="s">
        <v>258</v>
      </c>
      <c r="M88" s="160"/>
      <c r="N88" s="9" t="s">
        <v>258</v>
      </c>
      <c r="O88" s="9"/>
      <c r="P88" s="10"/>
      <c r="Q88" s="118">
        <f t="shared" si="12"/>
        <v>3</v>
      </c>
      <c r="R88" s="118" t="str">
        <f t="shared" si="13"/>
        <v/>
      </c>
      <c r="S88" s="122"/>
      <c r="T88" s="120"/>
      <c r="U88" s="120"/>
      <c r="V88" s="63"/>
      <c r="Z88" s="64"/>
    </row>
    <row r="89" spans="1:26" x14ac:dyDescent="0.3">
      <c r="A89" s="8">
        <v>190</v>
      </c>
      <c r="B89" s="8" t="s">
        <v>468</v>
      </c>
      <c r="C89" s="9" t="s">
        <v>157</v>
      </c>
      <c r="D89" s="10" t="s">
        <v>380</v>
      </c>
      <c r="E89" s="30">
        <v>7060</v>
      </c>
      <c r="F89" s="12" t="s">
        <v>4</v>
      </c>
      <c r="G89" s="13" t="s">
        <v>16</v>
      </c>
      <c r="H89" s="13"/>
      <c r="I89" s="9" t="s">
        <v>13</v>
      </c>
      <c r="J89" s="15">
        <v>3</v>
      </c>
      <c r="K89" s="8" t="s">
        <v>261</v>
      </c>
      <c r="L89" s="9" t="s">
        <v>258</v>
      </c>
      <c r="M89" s="160"/>
      <c r="N89" s="9" t="s">
        <v>258</v>
      </c>
      <c r="O89" s="9"/>
      <c r="P89" s="10"/>
      <c r="Q89" s="118">
        <f t="shared" si="12"/>
        <v>3</v>
      </c>
      <c r="R89" s="118" t="str">
        <f t="shared" si="13"/>
        <v/>
      </c>
      <c r="S89" s="122"/>
      <c r="T89" s="120"/>
      <c r="U89" s="120"/>
      <c r="V89" s="63"/>
      <c r="Z89" s="64"/>
    </row>
    <row r="90" spans="1:26" x14ac:dyDescent="0.3">
      <c r="A90" s="8">
        <v>191</v>
      </c>
      <c r="B90" s="8" t="s">
        <v>468</v>
      </c>
      <c r="C90" s="9" t="s">
        <v>157</v>
      </c>
      <c r="D90" s="10" t="s">
        <v>382</v>
      </c>
      <c r="E90" s="30">
        <v>9081</v>
      </c>
      <c r="F90" s="12" t="s">
        <v>4</v>
      </c>
      <c r="G90" s="12" t="s">
        <v>16</v>
      </c>
      <c r="H90" s="12" t="s">
        <v>502</v>
      </c>
      <c r="I90" s="9" t="s">
        <v>13</v>
      </c>
      <c r="J90" s="15">
        <v>4</v>
      </c>
      <c r="K90" s="8" t="s">
        <v>261</v>
      </c>
      <c r="L90" s="9" t="s">
        <v>258</v>
      </c>
      <c r="M90" s="160"/>
      <c r="N90" s="9" t="s">
        <v>258</v>
      </c>
      <c r="O90" s="9"/>
      <c r="Q90" s="118">
        <f t="shared" si="12"/>
        <v>4</v>
      </c>
      <c r="R90" s="118" t="str">
        <f t="shared" si="13"/>
        <v/>
      </c>
      <c r="S90" s="122"/>
      <c r="T90" s="120"/>
      <c r="U90" s="120"/>
      <c r="V90" s="63"/>
      <c r="Z90" s="64"/>
    </row>
    <row r="91" spans="1:26" x14ac:dyDescent="0.3">
      <c r="A91" s="8">
        <v>192</v>
      </c>
      <c r="B91" s="8" t="s">
        <v>468</v>
      </c>
      <c r="C91" s="9" t="s">
        <v>157</v>
      </c>
      <c r="D91" s="10" t="s">
        <v>383</v>
      </c>
      <c r="E91" s="30">
        <v>10099</v>
      </c>
      <c r="F91" s="12" t="s">
        <v>4</v>
      </c>
      <c r="G91" s="12" t="s">
        <v>16</v>
      </c>
      <c r="H91" s="12" t="s">
        <v>502</v>
      </c>
      <c r="I91" s="9" t="s">
        <v>13</v>
      </c>
      <c r="J91" s="15">
        <v>3</v>
      </c>
      <c r="K91" s="8" t="s">
        <v>261</v>
      </c>
      <c r="L91" s="9" t="s">
        <v>258</v>
      </c>
      <c r="M91" s="160"/>
      <c r="N91" s="9" t="s">
        <v>258</v>
      </c>
      <c r="O91" s="9"/>
      <c r="Q91" s="118">
        <f t="shared" si="12"/>
        <v>3</v>
      </c>
      <c r="R91" s="118" t="str">
        <f t="shared" si="13"/>
        <v/>
      </c>
      <c r="S91" s="122"/>
      <c r="T91" s="120"/>
      <c r="U91" s="120"/>
      <c r="V91" s="63"/>
      <c r="Z91" s="64"/>
    </row>
    <row r="92" spans="1:26" x14ac:dyDescent="0.3">
      <c r="A92" s="8">
        <v>209</v>
      </c>
      <c r="B92" s="8" t="s">
        <v>468</v>
      </c>
      <c r="C92" s="9" t="s">
        <v>157</v>
      </c>
      <c r="D92" s="10" t="s">
        <v>433</v>
      </c>
      <c r="E92" s="30" t="s">
        <v>434</v>
      </c>
      <c r="F92" s="12" t="s">
        <v>4</v>
      </c>
      <c r="G92" s="12" t="s">
        <v>16</v>
      </c>
      <c r="H92" s="12" t="s">
        <v>502</v>
      </c>
      <c r="I92" s="173" t="s">
        <v>511</v>
      </c>
      <c r="J92" s="15">
        <v>4</v>
      </c>
      <c r="K92" s="22" t="s">
        <v>465</v>
      </c>
      <c r="L92" s="9" t="s">
        <v>258</v>
      </c>
      <c r="M92" s="163" t="s">
        <v>501</v>
      </c>
      <c r="N92" s="9" t="s">
        <v>258</v>
      </c>
      <c r="O92" s="9"/>
      <c r="Q92" s="118" t="str">
        <f t="shared" si="12"/>
        <v/>
      </c>
      <c r="R92" s="118">
        <f t="shared" si="13"/>
        <v>4</v>
      </c>
      <c r="S92" s="122"/>
      <c r="T92" s="120"/>
      <c r="U92" s="120"/>
      <c r="V92" s="63"/>
      <c r="Z92" s="64"/>
    </row>
    <row r="93" spans="1:26" x14ac:dyDescent="0.3">
      <c r="A93" s="26">
        <v>210</v>
      </c>
      <c r="B93" s="26" t="s">
        <v>468</v>
      </c>
      <c r="C93" s="96" t="s">
        <v>157</v>
      </c>
      <c r="D93" s="98" t="s">
        <v>436</v>
      </c>
      <c r="E93" s="99">
        <v>1117</v>
      </c>
      <c r="F93" s="100" t="s">
        <v>4</v>
      </c>
      <c r="G93" s="100" t="s">
        <v>16</v>
      </c>
      <c r="H93" s="100"/>
      <c r="I93" s="173" t="s">
        <v>511</v>
      </c>
      <c r="J93" s="97">
        <v>3</v>
      </c>
      <c r="K93" s="151" t="s">
        <v>496</v>
      </c>
      <c r="L93" s="9" t="s">
        <v>258</v>
      </c>
      <c r="M93" s="160"/>
      <c r="N93" s="9" t="s">
        <v>258</v>
      </c>
      <c r="O93" s="9"/>
      <c r="Q93" s="118" t="str">
        <f t="shared" si="12"/>
        <v/>
      </c>
      <c r="R93" s="118">
        <f t="shared" si="13"/>
        <v>3</v>
      </c>
      <c r="S93" s="122"/>
      <c r="T93" s="120"/>
      <c r="U93" s="120"/>
      <c r="V93" s="63"/>
      <c r="Z93" s="64"/>
    </row>
    <row r="94" spans="1:26" x14ac:dyDescent="0.3">
      <c r="A94" s="26">
        <v>211</v>
      </c>
      <c r="B94" s="26" t="s">
        <v>468</v>
      </c>
      <c r="C94" s="96" t="s">
        <v>157</v>
      </c>
      <c r="D94" s="98" t="s">
        <v>438</v>
      </c>
      <c r="E94" s="99">
        <v>9004</v>
      </c>
      <c r="F94" s="100" t="s">
        <v>4</v>
      </c>
      <c r="G94" s="100" t="s">
        <v>16</v>
      </c>
      <c r="H94" s="100"/>
      <c r="I94" s="173" t="s">
        <v>511</v>
      </c>
      <c r="J94" s="97">
        <v>4</v>
      </c>
      <c r="K94" s="151" t="s">
        <v>496</v>
      </c>
      <c r="L94" s="9" t="s">
        <v>258</v>
      </c>
      <c r="M94" s="160"/>
      <c r="N94" s="9" t="s">
        <v>258</v>
      </c>
      <c r="O94" s="9"/>
      <c r="Q94" s="118" t="str">
        <f t="shared" si="12"/>
        <v/>
      </c>
      <c r="R94" s="118">
        <f t="shared" si="13"/>
        <v>4</v>
      </c>
      <c r="S94" s="122"/>
      <c r="T94" s="120"/>
      <c r="U94" s="120"/>
      <c r="V94" s="63"/>
      <c r="Z94" s="64"/>
    </row>
    <row r="95" spans="1:26" x14ac:dyDescent="0.3">
      <c r="A95" s="26">
        <v>212</v>
      </c>
      <c r="B95" s="26" t="s">
        <v>468</v>
      </c>
      <c r="C95" s="96" t="s">
        <v>157</v>
      </c>
      <c r="D95" s="98" t="s">
        <v>440</v>
      </c>
      <c r="E95" s="99">
        <v>6008</v>
      </c>
      <c r="F95" s="100" t="s">
        <v>4</v>
      </c>
      <c r="G95" s="100" t="s">
        <v>16</v>
      </c>
      <c r="H95" s="100"/>
      <c r="I95" s="173" t="s">
        <v>511</v>
      </c>
      <c r="J95" s="97">
        <v>6</v>
      </c>
      <c r="K95" s="22" t="s">
        <v>465</v>
      </c>
      <c r="L95" s="9" t="s">
        <v>258</v>
      </c>
      <c r="M95" s="163" t="s">
        <v>501</v>
      </c>
      <c r="N95" s="9" t="s">
        <v>258</v>
      </c>
      <c r="O95" s="9"/>
      <c r="Q95" s="118" t="str">
        <f t="shared" si="12"/>
        <v/>
      </c>
      <c r="R95" s="118">
        <f t="shared" si="13"/>
        <v>6</v>
      </c>
      <c r="S95" s="122"/>
      <c r="T95" s="120"/>
      <c r="U95" s="120"/>
      <c r="V95" s="63"/>
      <c r="Z95" s="64"/>
    </row>
    <row r="96" spans="1:26" x14ac:dyDescent="0.3">
      <c r="A96" s="26">
        <v>213</v>
      </c>
      <c r="B96" s="26" t="s">
        <v>468</v>
      </c>
      <c r="C96" s="96" t="s">
        <v>157</v>
      </c>
      <c r="D96" s="98" t="s">
        <v>442</v>
      </c>
      <c r="E96" s="99">
        <v>6019</v>
      </c>
      <c r="F96" s="100" t="s">
        <v>4</v>
      </c>
      <c r="G96" s="100" t="s">
        <v>16</v>
      </c>
      <c r="H96" s="100"/>
      <c r="I96" s="96" t="s">
        <v>13</v>
      </c>
      <c r="J96" s="97">
        <v>3</v>
      </c>
      <c r="K96" s="70" t="s">
        <v>262</v>
      </c>
      <c r="L96" s="9" t="s">
        <v>258</v>
      </c>
      <c r="M96" s="164" t="s">
        <v>500</v>
      </c>
      <c r="N96" s="9" t="s">
        <v>258</v>
      </c>
      <c r="O96" s="9"/>
      <c r="Q96" s="118">
        <f t="shared" si="12"/>
        <v>3</v>
      </c>
      <c r="R96" s="118" t="str">
        <f t="shared" si="13"/>
        <v/>
      </c>
      <c r="S96" s="122"/>
      <c r="T96" s="120"/>
      <c r="U96" s="120"/>
      <c r="V96" s="63"/>
      <c r="Z96" s="64"/>
    </row>
    <row r="97" spans="1:26" x14ac:dyDescent="0.3">
      <c r="A97" s="26">
        <v>219</v>
      </c>
      <c r="B97" s="26" t="s">
        <v>468</v>
      </c>
      <c r="C97" s="96" t="s">
        <v>157</v>
      </c>
      <c r="D97" s="98" t="s">
        <v>459</v>
      </c>
      <c r="E97" s="99">
        <v>2016</v>
      </c>
      <c r="F97" s="100" t="s">
        <v>4</v>
      </c>
      <c r="G97" s="100" t="s">
        <v>16</v>
      </c>
      <c r="H97" s="100"/>
      <c r="I97" s="96" t="s">
        <v>178</v>
      </c>
      <c r="J97" s="97">
        <v>4</v>
      </c>
      <c r="K97" s="151" t="s">
        <v>496</v>
      </c>
      <c r="L97" s="9" t="s">
        <v>258</v>
      </c>
      <c r="M97" s="160"/>
      <c r="N97" s="9" t="s">
        <v>258</v>
      </c>
      <c r="O97" s="9"/>
      <c r="Q97" s="118" t="str">
        <f t="shared" ref="Q97:Q130" si="14">IF(I97="SI",J97,"")</f>
        <v/>
      </c>
      <c r="R97" s="118">
        <f t="shared" ref="R97:R130" si="15">IF(I97="SI","",J97)</f>
        <v>4</v>
      </c>
      <c r="S97" s="122"/>
      <c r="T97" s="120"/>
      <c r="U97" s="120"/>
      <c r="V97" s="63"/>
      <c r="Z97" s="64"/>
    </row>
    <row r="98" spans="1:26" x14ac:dyDescent="0.3">
      <c r="A98" s="26">
        <v>220</v>
      </c>
      <c r="B98" s="26" t="s">
        <v>468</v>
      </c>
      <c r="C98" s="96" t="s">
        <v>157</v>
      </c>
      <c r="D98" s="98" t="s">
        <v>461</v>
      </c>
      <c r="E98" s="99">
        <v>2074</v>
      </c>
      <c r="F98" s="100" t="s">
        <v>4</v>
      </c>
      <c r="G98" s="100" t="s">
        <v>16</v>
      </c>
      <c r="H98" s="100"/>
      <c r="I98" s="96" t="s">
        <v>178</v>
      </c>
      <c r="J98" s="97">
        <v>3</v>
      </c>
      <c r="K98" s="151" t="s">
        <v>496</v>
      </c>
      <c r="L98" s="9" t="s">
        <v>258</v>
      </c>
      <c r="M98" s="160"/>
      <c r="N98" s="9" t="s">
        <v>258</v>
      </c>
      <c r="O98" s="9"/>
      <c r="Q98" s="118" t="str">
        <f t="shared" si="14"/>
        <v/>
      </c>
      <c r="R98" s="118">
        <f t="shared" si="15"/>
        <v>3</v>
      </c>
      <c r="S98" s="122"/>
      <c r="T98" s="120"/>
      <c r="U98" s="120"/>
      <c r="V98" s="63"/>
      <c r="Z98" s="64"/>
    </row>
    <row r="99" spans="1:26" s="109" customFormat="1" ht="15" thickBot="1" x14ac:dyDescent="0.35">
      <c r="A99" s="103"/>
      <c r="B99" s="103"/>
      <c r="C99" s="101"/>
      <c r="D99" s="104"/>
      <c r="E99" s="105"/>
      <c r="F99" s="106"/>
      <c r="G99" s="106"/>
      <c r="H99" s="106"/>
      <c r="I99" s="101"/>
      <c r="J99" s="106"/>
      <c r="K99" s="107"/>
      <c r="L99" s="101"/>
      <c r="M99" s="161"/>
      <c r="N99" s="101"/>
      <c r="O99" s="101"/>
      <c r="Q99" s="120"/>
      <c r="R99" s="120"/>
      <c r="S99" s="122"/>
      <c r="T99" s="120"/>
      <c r="U99" s="127"/>
      <c r="V99" s="102"/>
      <c r="W99" s="102"/>
      <c r="X99" s="102"/>
      <c r="Y99" s="102"/>
    </row>
    <row r="100" spans="1:26" ht="15" thickBot="1" x14ac:dyDescent="0.35">
      <c r="J100" s="39">
        <f>SUM(J2:J98)</f>
        <v>348</v>
      </c>
      <c r="Q100" s="116">
        <f>SUM(Q2:Q98)</f>
        <v>257</v>
      </c>
      <c r="R100" s="116">
        <f>SUM(R2:R98)</f>
        <v>91</v>
      </c>
      <c r="S100" s="122"/>
      <c r="T100" s="120"/>
      <c r="U100" s="121"/>
    </row>
    <row r="101" spans="1:26" ht="15" thickBot="1" x14ac:dyDescent="0.35">
      <c r="C101" s="43"/>
      <c r="D101" s="46"/>
      <c r="J101" s="40"/>
      <c r="Q101" s="117">
        <v>1</v>
      </c>
      <c r="R101" s="117"/>
      <c r="S101" s="122"/>
      <c r="T101" s="120"/>
      <c r="U101" s="121"/>
    </row>
    <row r="102" spans="1:26" s="64" customFormat="1" ht="15" thickBot="1" x14ac:dyDescent="0.35">
      <c r="A102" s="42" t="s">
        <v>467</v>
      </c>
      <c r="B102" s="43">
        <f>+COUNTIF(B2:B98,A102)</f>
        <v>0</v>
      </c>
      <c r="C102" s="47">
        <f>+COUNTIF(C2:C98,D102)</f>
        <v>72</v>
      </c>
      <c r="D102" s="48" t="s">
        <v>8</v>
      </c>
      <c r="E102"/>
      <c r="F102" s="42" t="s">
        <v>188</v>
      </c>
      <c r="G102" s="43">
        <f>+COUNTIF(G2:G98,F102)</f>
        <v>0</v>
      </c>
      <c r="H102" s="43"/>
      <c r="I102" s="38"/>
      <c r="J102" s="39">
        <f>+J100+J101</f>
        <v>348</v>
      </c>
      <c r="K102"/>
      <c r="L102"/>
      <c r="M102" s="162"/>
      <c r="N102"/>
      <c r="O102"/>
      <c r="P102" s="69"/>
      <c r="Q102" s="116">
        <f>+Q100+Q101</f>
        <v>258</v>
      </c>
      <c r="R102" s="116">
        <f>+R100+R101</f>
        <v>91</v>
      </c>
      <c r="S102" s="122"/>
      <c r="T102" s="120"/>
      <c r="U102" s="121"/>
      <c r="Z102"/>
    </row>
    <row r="103" spans="1:26" s="64" customFormat="1" x14ac:dyDescent="0.3">
      <c r="A103" s="42" t="s">
        <v>468</v>
      </c>
      <c r="B103" s="43">
        <f>+COUNTIF(B2:B98,A103)</f>
        <v>97</v>
      </c>
      <c r="C103" s="47">
        <f>+COUNTIF(C2:C98,D103)</f>
        <v>25</v>
      </c>
      <c r="D103" s="48" t="s">
        <v>157</v>
      </c>
      <c r="E103"/>
      <c r="F103" s="42" t="s">
        <v>12</v>
      </c>
      <c r="G103" s="43">
        <f>+COUNTIF(G2:G98,F103)</f>
        <v>0</v>
      </c>
      <c r="H103" s="43"/>
      <c r="I103" s="38"/>
      <c r="J103"/>
      <c r="K103"/>
      <c r="L103"/>
      <c r="M103" s="162"/>
      <c r="N103"/>
      <c r="O103"/>
      <c r="P103" s="69"/>
      <c r="Q103" s="120"/>
      <c r="R103" s="120"/>
      <c r="S103" s="122"/>
      <c r="T103" s="120"/>
      <c r="U103" s="121"/>
      <c r="Z103"/>
    </row>
    <row r="104" spans="1:26" s="64" customFormat="1" x14ac:dyDescent="0.3">
      <c r="A104" s="36"/>
      <c r="B104" s="36"/>
      <c r="C104" s="47"/>
      <c r="D104" s="50" t="s">
        <v>487</v>
      </c>
      <c r="E104"/>
      <c r="F104" s="42" t="s">
        <v>51</v>
      </c>
      <c r="G104" s="43">
        <f>+COUNTIF(G2:G98,F104)</f>
        <v>21</v>
      </c>
      <c r="H104" s="43"/>
      <c r="I104" s="181"/>
      <c r="J104" s="182"/>
      <c r="K104"/>
      <c r="L104"/>
      <c r="M104" s="162"/>
      <c r="N104"/>
      <c r="O104"/>
      <c r="P104" s="69"/>
      <c r="Q104" s="128">
        <f>+Q102/J102</f>
        <v>0.74137931034482762</v>
      </c>
      <c r="R104" s="128">
        <f>+R102/J102</f>
        <v>0.2614942528735632</v>
      </c>
      <c r="S104" s="122"/>
      <c r="T104" s="120"/>
      <c r="U104" s="121"/>
      <c r="Z104"/>
    </row>
    <row r="105" spans="1:26" s="64" customFormat="1" ht="15" thickBot="1" x14ac:dyDescent="0.35">
      <c r="A105" s="44"/>
      <c r="B105" s="44"/>
      <c r="C105" s="37"/>
      <c r="D105" s="50" t="s">
        <v>488</v>
      </c>
      <c r="E105"/>
      <c r="F105" s="42" t="s">
        <v>16</v>
      </c>
      <c r="G105" s="43">
        <f>+COUNTIF(G2:G98,F105)</f>
        <v>76</v>
      </c>
      <c r="H105" s="72"/>
      <c r="I105" s="181"/>
      <c r="J105" s="182"/>
      <c r="K105"/>
      <c r="L105"/>
      <c r="M105" s="162"/>
      <c r="N105"/>
      <c r="O105"/>
      <c r="P105" s="69"/>
      <c r="Q105" s="113"/>
      <c r="R105" s="113"/>
      <c r="S105" s="115"/>
      <c r="T105" s="113"/>
      <c r="U105" s="114"/>
      <c r="Z105"/>
    </row>
    <row r="106" spans="1:26" s="64" customFormat="1" ht="15" thickBot="1" x14ac:dyDescent="0.35">
      <c r="A106" s="36"/>
      <c r="B106" s="36"/>
      <c r="C106" s="49">
        <f>SUBTOTAL(9,C101:C104)</f>
        <v>97</v>
      </c>
      <c r="D106"/>
      <c r="E106"/>
      <c r="F106" s="44"/>
      <c r="G106" s="45">
        <f>SUBTOTAL(9,G102:G105)</f>
        <v>97</v>
      </c>
      <c r="H106" s="72"/>
      <c r="I106" s="38"/>
      <c r="J106"/>
      <c r="K106"/>
      <c r="L106"/>
      <c r="M106" s="162"/>
      <c r="N106"/>
      <c r="O106"/>
      <c r="P106" s="69"/>
      <c r="Q106" s="113"/>
      <c r="R106" s="113"/>
      <c r="S106" s="115"/>
      <c r="T106" s="113"/>
      <c r="U106" s="114"/>
      <c r="Z106"/>
    </row>
    <row r="108" spans="1:26" s="64" customFormat="1" x14ac:dyDescent="0.3">
      <c r="A108" s="36"/>
      <c r="B108" s="36"/>
      <c r="C108" s="37"/>
      <c r="D108"/>
      <c r="E108"/>
      <c r="F108"/>
      <c r="G108"/>
      <c r="H108" s="42" t="s">
        <v>13</v>
      </c>
      <c r="I108" s="43">
        <f>+COUNTIF(I2:I98,H108)</f>
        <v>74</v>
      </c>
      <c r="J108"/>
      <c r="K108"/>
      <c r="L108"/>
      <c r="M108" s="162"/>
      <c r="N108"/>
      <c r="O108"/>
      <c r="P108" s="69"/>
      <c r="Q108" s="113"/>
      <c r="R108" s="113"/>
      <c r="S108" s="115"/>
      <c r="T108" s="113"/>
      <c r="U108" s="114"/>
      <c r="Z108"/>
    </row>
    <row r="109" spans="1:26" s="64" customFormat="1" ht="15" thickBot="1" x14ac:dyDescent="0.35">
      <c r="A109" s="36"/>
      <c r="B109" s="36"/>
      <c r="C109" s="37"/>
      <c r="D109"/>
      <c r="E109"/>
      <c r="F109"/>
      <c r="G109"/>
      <c r="H109" s="42" t="s">
        <v>178</v>
      </c>
      <c r="I109" s="43">
        <f>+COUNTIF(I2:I98,H109)</f>
        <v>5</v>
      </c>
      <c r="J109"/>
      <c r="K109"/>
      <c r="L109"/>
      <c r="M109" s="162"/>
      <c r="N109"/>
      <c r="O109"/>
      <c r="P109" s="69"/>
      <c r="Q109" s="113"/>
      <c r="R109" s="113"/>
      <c r="S109" s="115"/>
      <c r="T109" s="113"/>
      <c r="U109" s="114"/>
      <c r="Z109"/>
    </row>
    <row r="110" spans="1:26" s="64" customFormat="1" ht="15" thickBot="1" x14ac:dyDescent="0.35">
      <c r="A110" s="36"/>
      <c r="B110" s="36"/>
      <c r="C110" s="37"/>
      <c r="D110"/>
      <c r="E110"/>
      <c r="F110"/>
      <c r="G110"/>
      <c r="H110" s="42"/>
      <c r="I110" s="45">
        <f>SUBTOTAL(9,I108:I109)</f>
        <v>79</v>
      </c>
      <c r="J110"/>
      <c r="K110"/>
      <c r="L110"/>
      <c r="M110" s="162"/>
      <c r="N110"/>
      <c r="O110"/>
      <c r="P110" s="69"/>
      <c r="Q110" s="113"/>
      <c r="R110" s="113"/>
      <c r="S110" s="115"/>
      <c r="T110" s="113"/>
      <c r="U110" s="114"/>
      <c r="Z110"/>
    </row>
    <row r="111" spans="1:26" s="64" customFormat="1" x14ac:dyDescent="0.3">
      <c r="A111" s="36"/>
      <c r="B111" s="36"/>
      <c r="C111" s="37"/>
      <c r="D111"/>
      <c r="E111"/>
      <c r="F111"/>
      <c r="G111"/>
      <c r="H111" s="42"/>
      <c r="I111" s="43"/>
      <c r="J111" s="152" t="s">
        <v>256</v>
      </c>
      <c r="K111" s="153">
        <f>+COUNTIF(K1:K97,J111)</f>
        <v>6</v>
      </c>
      <c r="L111"/>
      <c r="M111" s="162"/>
      <c r="N111"/>
      <c r="O111"/>
      <c r="P111" s="69"/>
      <c r="Q111" s="113"/>
      <c r="R111" s="113"/>
      <c r="S111" s="115"/>
      <c r="T111" s="113"/>
      <c r="U111" s="114"/>
      <c r="Z111"/>
    </row>
    <row r="112" spans="1:26" s="64" customFormat="1" x14ac:dyDescent="0.3">
      <c r="A112" s="36"/>
      <c r="B112" s="36"/>
      <c r="C112" s="37"/>
      <c r="D112"/>
      <c r="E112"/>
      <c r="F112"/>
      <c r="G112"/>
      <c r="H112" s="44"/>
      <c r="I112" s="38"/>
      <c r="J112" s="152" t="s">
        <v>261</v>
      </c>
      <c r="K112" s="153">
        <f>+COUNTIF(K2:K98,J112)</f>
        <v>32</v>
      </c>
      <c r="L112"/>
      <c r="M112" s="162"/>
      <c r="N112"/>
      <c r="O112"/>
      <c r="P112" s="69"/>
      <c r="Q112" s="113"/>
      <c r="R112" s="113"/>
      <c r="S112" s="115"/>
      <c r="T112" s="113"/>
      <c r="U112" s="114"/>
      <c r="Z112"/>
    </row>
    <row r="113" spans="1:26" s="64" customFormat="1" x14ac:dyDescent="0.3">
      <c r="A113" s="36"/>
      <c r="B113" s="36"/>
      <c r="C113" s="37"/>
      <c r="D113"/>
      <c r="E113"/>
      <c r="F113"/>
      <c r="G113"/>
      <c r="H113" s="72"/>
      <c r="I113" s="38"/>
      <c r="J113" s="152" t="s">
        <v>262</v>
      </c>
      <c r="K113" s="153">
        <f>+COUNTIF(K2:K98,J113)</f>
        <v>5</v>
      </c>
      <c r="L113"/>
      <c r="M113" s="162"/>
      <c r="N113"/>
      <c r="O113"/>
      <c r="P113" s="69"/>
      <c r="Q113" s="113"/>
      <c r="R113" s="113"/>
      <c r="S113" s="115"/>
      <c r="T113" s="113"/>
      <c r="U113" s="114"/>
      <c r="Z113"/>
    </row>
    <row r="114" spans="1:26" s="64" customFormat="1" x14ac:dyDescent="0.3">
      <c r="A114" s="36"/>
      <c r="B114" s="36"/>
      <c r="C114" s="37"/>
      <c r="D114"/>
      <c r="E114"/>
      <c r="F114"/>
      <c r="G114"/>
      <c r="H114" s="72"/>
      <c r="I114" s="38"/>
      <c r="J114" s="152" t="s">
        <v>496</v>
      </c>
      <c r="K114" s="153">
        <f>+COUNTIF(K2:K98,J114)</f>
        <v>18</v>
      </c>
      <c r="L114"/>
      <c r="M114" s="162"/>
      <c r="N114"/>
      <c r="O114"/>
      <c r="P114" s="69"/>
      <c r="Q114" s="113"/>
      <c r="R114" s="113"/>
      <c r="S114" s="115"/>
      <c r="T114" s="113"/>
      <c r="U114" s="114"/>
      <c r="Z114"/>
    </row>
    <row r="115" spans="1:26" s="64" customFormat="1" x14ac:dyDescent="0.3">
      <c r="A115" s="36"/>
      <c r="B115" s="36"/>
      <c r="C115" s="37"/>
      <c r="D115"/>
      <c r="E115"/>
      <c r="F115"/>
      <c r="G115"/>
      <c r="H115" s="72"/>
      <c r="I115" s="38"/>
      <c r="J115" s="152" t="s">
        <v>260</v>
      </c>
      <c r="K115" s="153">
        <f>+COUNTIF(K2:K98,J115)</f>
        <v>13</v>
      </c>
      <c r="L115"/>
      <c r="M115" s="162"/>
      <c r="N115"/>
      <c r="O115"/>
      <c r="P115" s="69"/>
      <c r="Q115" s="113"/>
      <c r="R115" s="113"/>
      <c r="S115" s="115"/>
      <c r="T115" s="113"/>
      <c r="U115" s="114"/>
      <c r="Z115"/>
    </row>
    <row r="116" spans="1:26" s="64" customFormat="1" ht="15" thickBot="1" x14ac:dyDescent="0.35">
      <c r="A116" s="36"/>
      <c r="B116" s="36"/>
      <c r="C116" s="37"/>
      <c r="D116"/>
      <c r="E116"/>
      <c r="F116"/>
      <c r="G116"/>
      <c r="H116" s="72"/>
      <c r="I116" s="38"/>
      <c r="J116" s="152" t="s">
        <v>465</v>
      </c>
      <c r="K116" s="153">
        <f>+COUNTIF(K2:K98,J116)</f>
        <v>7</v>
      </c>
      <c r="L116"/>
      <c r="M116" s="162"/>
      <c r="N116"/>
      <c r="O116"/>
      <c r="P116" s="69"/>
      <c r="Q116" s="113"/>
      <c r="R116" s="113"/>
      <c r="S116" s="115"/>
      <c r="T116" s="113"/>
      <c r="U116" s="114"/>
      <c r="Z116"/>
    </row>
    <row r="117" spans="1:26" s="64" customFormat="1" ht="15" thickBot="1" x14ac:dyDescent="0.35">
      <c r="A117" s="36"/>
      <c r="B117" s="36"/>
      <c r="C117" s="37"/>
      <c r="D117"/>
      <c r="E117"/>
      <c r="F117"/>
      <c r="G117"/>
      <c r="H117" s="72"/>
      <c r="I117" s="38"/>
      <c r="J117" s="154"/>
      <c r="K117" s="155">
        <f>SUBTOTAL(9,K111:K116)</f>
        <v>81</v>
      </c>
      <c r="L117"/>
      <c r="M117" s="162"/>
      <c r="N117"/>
      <c r="O117"/>
      <c r="P117" s="69"/>
      <c r="Q117" s="113"/>
      <c r="R117" s="113"/>
      <c r="S117" s="115"/>
      <c r="T117" s="113"/>
      <c r="U117" s="114"/>
      <c r="Z117"/>
    </row>
  </sheetData>
  <autoFilter ref="A1:Z98" xr:uid="{A8C98864-80C8-48FD-85D7-1DB8590F376F}">
    <sortState ref="A2:Z98">
      <sortCondition ref="D1:D98"/>
    </sortState>
  </autoFilter>
  <printOptions gridLines="1"/>
  <pageMargins left="0.70866141732283472" right="0.70866141732283472" top="0.74803149606299213" bottom="0.74803149606299213" header="0.31496062992125984" footer="0.31496062992125984"/>
  <pageSetup paperSize="9" scale="43" fitToHeight="0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A0FD-7C82-4346-818B-6789FB09C057}">
  <dimension ref="A1:Q131"/>
  <sheetViews>
    <sheetView topLeftCell="A105" zoomScale="60" zoomScaleNormal="60" workbookViewId="0">
      <selection activeCell="C88" sqref="C88:C124"/>
    </sheetView>
  </sheetViews>
  <sheetFormatPr defaultRowHeight="14.4" x14ac:dyDescent="0.3"/>
  <cols>
    <col min="1" max="1" width="6.5546875" style="36" bestFit="1" customWidth="1"/>
    <col min="2" max="2" width="11.6640625" style="37" customWidth="1"/>
    <col min="3" max="3" width="39.88671875" bestFit="1" customWidth="1"/>
    <col min="6" max="6" width="10.109375" bestFit="1" customWidth="1"/>
    <col min="7" max="7" width="8.88671875" style="38"/>
    <col min="8" max="8" width="10.21875" customWidth="1"/>
    <col min="9" max="9" width="33.6640625" customWidth="1"/>
    <col min="10" max="10" width="53" bestFit="1" customWidth="1"/>
    <col min="16" max="16" width="22.6640625" style="55" bestFit="1" customWidth="1"/>
    <col min="17" max="17" width="4.6640625" style="55" bestFit="1" customWidth="1"/>
  </cols>
  <sheetData>
    <row r="1" spans="1:8" ht="39.6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7" t="s">
        <v>7</v>
      </c>
    </row>
    <row r="2" spans="1:8" x14ac:dyDescent="0.3">
      <c r="A2" s="8">
        <v>1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9" t="s">
        <v>13</v>
      </c>
      <c r="H2" s="12">
        <v>3</v>
      </c>
    </row>
    <row r="3" spans="1:8" x14ac:dyDescent="0.3">
      <c r="A3" s="8">
        <v>2</v>
      </c>
      <c r="B3" s="9" t="s">
        <v>8</v>
      </c>
      <c r="C3" s="10" t="s">
        <v>14</v>
      </c>
      <c r="D3" s="11" t="s">
        <v>15</v>
      </c>
      <c r="E3" s="12" t="s">
        <v>4</v>
      </c>
      <c r="F3" s="12" t="s">
        <v>16</v>
      </c>
      <c r="G3" s="9" t="s">
        <v>13</v>
      </c>
      <c r="H3" s="12">
        <v>4</v>
      </c>
    </row>
    <row r="4" spans="1:8" x14ac:dyDescent="0.3">
      <c r="A4" s="8">
        <v>3</v>
      </c>
      <c r="B4" s="9" t="s">
        <v>8</v>
      </c>
      <c r="C4" s="10" t="s">
        <v>17</v>
      </c>
      <c r="D4" s="11" t="s">
        <v>18</v>
      </c>
      <c r="E4" s="12" t="s">
        <v>4</v>
      </c>
      <c r="F4" s="12" t="s">
        <v>16</v>
      </c>
      <c r="G4" s="9" t="s">
        <v>13</v>
      </c>
      <c r="H4" s="12">
        <v>3</v>
      </c>
    </row>
    <row r="5" spans="1:8" x14ac:dyDescent="0.3">
      <c r="A5" s="8">
        <v>4</v>
      </c>
      <c r="B5" s="9" t="s">
        <v>8</v>
      </c>
      <c r="C5" s="10" t="s">
        <v>19</v>
      </c>
      <c r="D5" s="11" t="s">
        <v>20</v>
      </c>
      <c r="E5" s="12" t="s">
        <v>4</v>
      </c>
      <c r="F5" s="12" t="s">
        <v>16</v>
      </c>
      <c r="G5" s="9" t="s">
        <v>13</v>
      </c>
      <c r="H5" s="12">
        <v>4</v>
      </c>
    </row>
    <row r="6" spans="1:8" x14ac:dyDescent="0.3">
      <c r="A6" s="8">
        <v>5</v>
      </c>
      <c r="B6" s="9" t="s">
        <v>8</v>
      </c>
      <c r="C6" s="10" t="s">
        <v>21</v>
      </c>
      <c r="D6" s="11" t="s">
        <v>22</v>
      </c>
      <c r="E6" s="12" t="s">
        <v>4</v>
      </c>
      <c r="F6" s="12" t="s">
        <v>16</v>
      </c>
      <c r="G6" s="9" t="s">
        <v>13</v>
      </c>
      <c r="H6" s="12">
        <v>2</v>
      </c>
    </row>
    <row r="7" spans="1:8" x14ac:dyDescent="0.3">
      <c r="A7" s="8">
        <v>6</v>
      </c>
      <c r="B7" s="9" t="s">
        <v>8</v>
      </c>
      <c r="C7" s="10" t="s">
        <v>23</v>
      </c>
      <c r="D7" s="14" t="s">
        <v>24</v>
      </c>
      <c r="E7" s="12" t="s">
        <v>11</v>
      </c>
      <c r="F7" s="13" t="s">
        <v>12</v>
      </c>
      <c r="G7" s="9" t="s">
        <v>13</v>
      </c>
      <c r="H7" s="15">
        <v>3</v>
      </c>
    </row>
    <row r="8" spans="1:8" x14ac:dyDescent="0.3">
      <c r="A8" s="8">
        <v>7</v>
      </c>
      <c r="B8" s="9" t="s">
        <v>8</v>
      </c>
      <c r="C8" s="10" t="s">
        <v>25</v>
      </c>
      <c r="D8" s="14" t="s">
        <v>26</v>
      </c>
      <c r="E8" s="12" t="s">
        <v>11</v>
      </c>
      <c r="F8" s="13" t="s">
        <v>12</v>
      </c>
      <c r="G8" s="9" t="s">
        <v>13</v>
      </c>
      <c r="H8" s="15">
        <v>4</v>
      </c>
    </row>
    <row r="9" spans="1:8" x14ac:dyDescent="0.3">
      <c r="A9" s="8">
        <v>8</v>
      </c>
      <c r="B9" s="9" t="s">
        <v>8</v>
      </c>
      <c r="C9" s="10" t="s">
        <v>27</v>
      </c>
      <c r="D9" s="11" t="s">
        <v>28</v>
      </c>
      <c r="E9" s="12" t="s">
        <v>4</v>
      </c>
      <c r="F9" s="12" t="s">
        <v>16</v>
      </c>
      <c r="G9" s="9" t="s">
        <v>13</v>
      </c>
      <c r="H9" s="12">
        <v>3</v>
      </c>
    </row>
    <row r="10" spans="1:8" x14ac:dyDescent="0.3">
      <c r="A10" s="8">
        <v>9</v>
      </c>
      <c r="B10" s="9" t="s">
        <v>8</v>
      </c>
      <c r="C10" s="10" t="s">
        <v>29</v>
      </c>
      <c r="D10" s="11" t="s">
        <v>30</v>
      </c>
      <c r="E10" s="12" t="s">
        <v>4</v>
      </c>
      <c r="F10" s="12" t="s">
        <v>16</v>
      </c>
      <c r="G10" s="9" t="s">
        <v>13</v>
      </c>
      <c r="H10" s="12">
        <v>3</v>
      </c>
    </row>
    <row r="11" spans="1:8" x14ac:dyDescent="0.3">
      <c r="A11" s="8">
        <v>10</v>
      </c>
      <c r="B11" s="9" t="s">
        <v>8</v>
      </c>
      <c r="C11" s="10" t="s">
        <v>31</v>
      </c>
      <c r="D11" s="11" t="s">
        <v>32</v>
      </c>
      <c r="E11" s="12" t="s">
        <v>4</v>
      </c>
      <c r="F11" s="12" t="s">
        <v>16</v>
      </c>
      <c r="G11" s="9" t="s">
        <v>13</v>
      </c>
      <c r="H11" s="12">
        <v>4</v>
      </c>
    </row>
    <row r="12" spans="1:8" x14ac:dyDescent="0.3">
      <c r="A12" s="8">
        <v>11</v>
      </c>
      <c r="B12" s="9" t="s">
        <v>8</v>
      </c>
      <c r="C12" s="10" t="s">
        <v>33</v>
      </c>
      <c r="D12" s="11" t="s">
        <v>34</v>
      </c>
      <c r="E12" s="12" t="s">
        <v>4</v>
      </c>
      <c r="F12" s="12" t="s">
        <v>16</v>
      </c>
      <c r="G12" s="9" t="s">
        <v>13</v>
      </c>
      <c r="H12" s="12">
        <v>4</v>
      </c>
    </row>
    <row r="13" spans="1:8" x14ac:dyDescent="0.3">
      <c r="A13" s="8">
        <v>12</v>
      </c>
      <c r="B13" s="9" t="s">
        <v>8</v>
      </c>
      <c r="C13" s="10" t="s">
        <v>35</v>
      </c>
      <c r="D13" s="11" t="s">
        <v>36</v>
      </c>
      <c r="E13" s="12" t="s">
        <v>4</v>
      </c>
      <c r="F13" s="12" t="s">
        <v>16</v>
      </c>
      <c r="G13" s="9" t="s">
        <v>13</v>
      </c>
      <c r="H13" s="12">
        <v>4</v>
      </c>
    </row>
    <row r="14" spans="1:8" x14ac:dyDescent="0.3">
      <c r="A14" s="8">
        <v>13</v>
      </c>
      <c r="B14" s="9" t="s">
        <v>8</v>
      </c>
      <c r="C14" s="10" t="s">
        <v>37</v>
      </c>
      <c r="D14" s="11" t="s">
        <v>38</v>
      </c>
      <c r="E14" s="12" t="s">
        <v>11</v>
      </c>
      <c r="F14" s="16" t="s">
        <v>12</v>
      </c>
      <c r="G14" s="9" t="s">
        <v>13</v>
      </c>
      <c r="H14" s="12">
        <v>3</v>
      </c>
    </row>
    <row r="15" spans="1:8" x14ac:dyDescent="0.3">
      <c r="A15" s="8">
        <v>14</v>
      </c>
      <c r="B15" s="9" t="s">
        <v>8</v>
      </c>
      <c r="C15" s="10" t="s">
        <v>39</v>
      </c>
      <c r="D15" s="11" t="s">
        <v>40</v>
      </c>
      <c r="E15" s="12" t="s">
        <v>11</v>
      </c>
      <c r="F15" s="16" t="s">
        <v>12</v>
      </c>
      <c r="G15" s="9" t="s">
        <v>13</v>
      </c>
      <c r="H15" s="12">
        <v>4</v>
      </c>
    </row>
    <row r="16" spans="1:8" x14ac:dyDescent="0.3">
      <c r="A16" s="8">
        <v>15</v>
      </c>
      <c r="B16" s="9" t="s">
        <v>8</v>
      </c>
      <c r="C16" s="10" t="s">
        <v>41</v>
      </c>
      <c r="D16" s="11" t="s">
        <v>42</v>
      </c>
      <c r="E16" s="12" t="s">
        <v>4</v>
      </c>
      <c r="F16" s="12" t="s">
        <v>16</v>
      </c>
      <c r="G16" s="9" t="s">
        <v>13</v>
      </c>
      <c r="H16" s="12">
        <v>4</v>
      </c>
    </row>
    <row r="17" spans="1:8" x14ac:dyDescent="0.3">
      <c r="A17" s="8">
        <v>16</v>
      </c>
      <c r="B17" s="9" t="s">
        <v>8</v>
      </c>
      <c r="C17" s="10" t="s">
        <v>43</v>
      </c>
      <c r="D17" s="11" t="s">
        <v>44</v>
      </c>
      <c r="E17" s="12" t="s">
        <v>4</v>
      </c>
      <c r="F17" s="12" t="s">
        <v>16</v>
      </c>
      <c r="G17" s="9" t="s">
        <v>13</v>
      </c>
      <c r="H17" s="12">
        <v>3</v>
      </c>
    </row>
    <row r="18" spans="1:8" x14ac:dyDescent="0.3">
      <c r="A18" s="8">
        <v>17</v>
      </c>
      <c r="B18" s="9" t="s">
        <v>8</v>
      </c>
      <c r="C18" s="10" t="s">
        <v>45</v>
      </c>
      <c r="D18" s="11" t="s">
        <v>46</v>
      </c>
      <c r="E18" s="12" t="s">
        <v>4</v>
      </c>
      <c r="F18" s="12" t="s">
        <v>16</v>
      </c>
      <c r="G18" s="9" t="s">
        <v>13</v>
      </c>
      <c r="H18" s="12">
        <v>3</v>
      </c>
    </row>
    <row r="19" spans="1:8" x14ac:dyDescent="0.3">
      <c r="A19" s="8">
        <v>18</v>
      </c>
      <c r="B19" s="9" t="s">
        <v>8</v>
      </c>
      <c r="C19" s="10" t="s">
        <v>47</v>
      </c>
      <c r="D19" s="11" t="s">
        <v>48</v>
      </c>
      <c r="E19" s="12" t="s">
        <v>4</v>
      </c>
      <c r="F19" s="12" t="s">
        <v>16</v>
      </c>
      <c r="G19" s="9" t="s">
        <v>13</v>
      </c>
      <c r="H19" s="12">
        <v>3</v>
      </c>
    </row>
    <row r="20" spans="1:8" x14ac:dyDescent="0.3">
      <c r="A20" s="8">
        <v>19</v>
      </c>
      <c r="B20" s="9" t="s">
        <v>8</v>
      </c>
      <c r="C20" s="10" t="s">
        <v>49</v>
      </c>
      <c r="D20" s="11" t="s">
        <v>50</v>
      </c>
      <c r="E20" s="12" t="s">
        <v>4</v>
      </c>
      <c r="F20" s="12" t="s">
        <v>51</v>
      </c>
      <c r="G20" s="9" t="s">
        <v>13</v>
      </c>
      <c r="H20" s="12">
        <v>2</v>
      </c>
    </row>
    <row r="21" spans="1:8" x14ac:dyDescent="0.3">
      <c r="A21" s="8">
        <v>20</v>
      </c>
      <c r="B21" s="9" t="s">
        <v>8</v>
      </c>
      <c r="C21" s="10" t="s">
        <v>52</v>
      </c>
      <c r="D21" s="11" t="s">
        <v>53</v>
      </c>
      <c r="E21" s="12" t="s">
        <v>4</v>
      </c>
      <c r="F21" s="12" t="s">
        <v>51</v>
      </c>
      <c r="G21" s="9" t="s">
        <v>13</v>
      </c>
      <c r="H21" s="12">
        <v>4</v>
      </c>
    </row>
    <row r="22" spans="1:8" x14ac:dyDescent="0.3">
      <c r="A22" s="8">
        <v>21</v>
      </c>
      <c r="B22" s="9" t="s">
        <v>8</v>
      </c>
      <c r="C22" s="10" t="s">
        <v>54</v>
      </c>
      <c r="D22" s="11" t="s">
        <v>55</v>
      </c>
      <c r="E22" s="12" t="s">
        <v>4</v>
      </c>
      <c r="F22" s="12" t="s">
        <v>51</v>
      </c>
      <c r="G22" s="9" t="s">
        <v>13</v>
      </c>
      <c r="H22" s="12">
        <v>4</v>
      </c>
    </row>
    <row r="23" spans="1:8" x14ac:dyDescent="0.3">
      <c r="A23" s="8">
        <v>22</v>
      </c>
      <c r="B23" s="9" t="s">
        <v>8</v>
      </c>
      <c r="C23" s="10" t="s">
        <v>56</v>
      </c>
      <c r="D23" s="11" t="s">
        <v>57</v>
      </c>
      <c r="E23" s="12" t="s">
        <v>4</v>
      </c>
      <c r="F23" s="12" t="s">
        <v>51</v>
      </c>
      <c r="G23" s="9" t="s">
        <v>13</v>
      </c>
      <c r="H23" s="12">
        <v>2</v>
      </c>
    </row>
    <row r="24" spans="1:8" x14ac:dyDescent="0.3">
      <c r="A24" s="8">
        <v>23</v>
      </c>
      <c r="B24" s="9" t="s">
        <v>8</v>
      </c>
      <c r="C24" s="10" t="s">
        <v>58</v>
      </c>
      <c r="D24" s="11" t="s">
        <v>59</v>
      </c>
      <c r="E24" s="12" t="s">
        <v>4</v>
      </c>
      <c r="F24" s="12" t="s">
        <v>51</v>
      </c>
      <c r="G24" s="9" t="s">
        <v>13</v>
      </c>
      <c r="H24" s="12">
        <v>4</v>
      </c>
    </row>
    <row r="25" spans="1:8" x14ac:dyDescent="0.3">
      <c r="A25" s="8">
        <v>24</v>
      </c>
      <c r="B25" s="9" t="s">
        <v>8</v>
      </c>
      <c r="C25" s="10" t="s">
        <v>60</v>
      </c>
      <c r="D25" s="11" t="s">
        <v>61</v>
      </c>
      <c r="E25" s="12" t="s">
        <v>4</v>
      </c>
      <c r="F25" s="12" t="s">
        <v>51</v>
      </c>
      <c r="G25" s="9" t="s">
        <v>13</v>
      </c>
      <c r="H25" s="12">
        <v>3</v>
      </c>
    </row>
    <row r="26" spans="1:8" x14ac:dyDescent="0.3">
      <c r="A26" s="8">
        <v>25</v>
      </c>
      <c r="B26" s="9" t="s">
        <v>8</v>
      </c>
      <c r="C26" s="10" t="s">
        <v>62</v>
      </c>
      <c r="D26" s="11" t="s">
        <v>63</v>
      </c>
      <c r="E26" s="12" t="s">
        <v>4</v>
      </c>
      <c r="F26" s="12" t="s">
        <v>51</v>
      </c>
      <c r="G26" s="9" t="s">
        <v>13</v>
      </c>
      <c r="H26" s="12">
        <v>5</v>
      </c>
    </row>
    <row r="27" spans="1:8" x14ac:dyDescent="0.3">
      <c r="A27" s="8">
        <v>26</v>
      </c>
      <c r="B27" s="9" t="s">
        <v>8</v>
      </c>
      <c r="C27" s="10" t="s">
        <v>64</v>
      </c>
      <c r="D27" s="11" t="s">
        <v>65</v>
      </c>
      <c r="E27" s="12" t="s">
        <v>4</v>
      </c>
      <c r="F27" s="12" t="s">
        <v>51</v>
      </c>
      <c r="G27" s="9" t="s">
        <v>13</v>
      </c>
      <c r="H27" s="12">
        <v>3</v>
      </c>
    </row>
    <row r="28" spans="1:8" x14ac:dyDescent="0.3">
      <c r="A28" s="8">
        <v>27</v>
      </c>
      <c r="B28" s="9" t="s">
        <v>8</v>
      </c>
      <c r="C28" s="10" t="s">
        <v>66</v>
      </c>
      <c r="D28" s="11" t="s">
        <v>67</v>
      </c>
      <c r="E28" s="12" t="s">
        <v>4</v>
      </c>
      <c r="F28" s="12" t="s">
        <v>51</v>
      </c>
      <c r="G28" s="9" t="s">
        <v>13</v>
      </c>
      <c r="H28" s="12">
        <v>4</v>
      </c>
    </row>
    <row r="29" spans="1:8" x14ac:dyDescent="0.3">
      <c r="A29" s="8">
        <v>28</v>
      </c>
      <c r="B29" s="9" t="s">
        <v>8</v>
      </c>
      <c r="C29" s="10" t="s">
        <v>68</v>
      </c>
      <c r="D29" s="11" t="s">
        <v>69</v>
      </c>
      <c r="E29" s="12" t="s">
        <v>4</v>
      </c>
      <c r="F29" s="12" t="s">
        <v>51</v>
      </c>
      <c r="G29" s="9" t="s">
        <v>13</v>
      </c>
      <c r="H29" s="12">
        <v>4</v>
      </c>
    </row>
    <row r="30" spans="1:8" x14ac:dyDescent="0.3">
      <c r="A30" s="8">
        <v>29</v>
      </c>
      <c r="B30" s="9" t="s">
        <v>8</v>
      </c>
      <c r="C30" s="10" t="s">
        <v>70</v>
      </c>
      <c r="D30" s="11" t="s">
        <v>71</v>
      </c>
      <c r="E30" s="12" t="s">
        <v>4</v>
      </c>
      <c r="F30" s="12" t="s">
        <v>16</v>
      </c>
      <c r="G30" s="9" t="s">
        <v>13</v>
      </c>
      <c r="H30" s="12">
        <v>5</v>
      </c>
    </row>
    <row r="31" spans="1:8" x14ac:dyDescent="0.3">
      <c r="A31" s="8">
        <v>30</v>
      </c>
      <c r="B31" s="9" t="s">
        <v>8</v>
      </c>
      <c r="C31" s="10" t="s">
        <v>72</v>
      </c>
      <c r="D31" s="11" t="s">
        <v>73</v>
      </c>
      <c r="E31" s="12" t="s">
        <v>4</v>
      </c>
      <c r="F31" s="12" t="s">
        <v>16</v>
      </c>
      <c r="G31" s="9" t="s">
        <v>13</v>
      </c>
      <c r="H31" s="12">
        <v>3</v>
      </c>
    </row>
    <row r="32" spans="1:8" x14ac:dyDescent="0.3">
      <c r="A32" s="8">
        <v>31</v>
      </c>
      <c r="B32" s="9" t="s">
        <v>8</v>
      </c>
      <c r="C32" s="10" t="s">
        <v>74</v>
      </c>
      <c r="D32" s="11" t="s">
        <v>75</v>
      </c>
      <c r="E32" s="12" t="s">
        <v>4</v>
      </c>
      <c r="F32" s="12" t="s">
        <v>16</v>
      </c>
      <c r="G32" s="9" t="s">
        <v>13</v>
      </c>
      <c r="H32" s="12">
        <v>2</v>
      </c>
    </row>
    <row r="33" spans="1:8" x14ac:dyDescent="0.3">
      <c r="A33" s="8">
        <v>32</v>
      </c>
      <c r="B33" s="9" t="s">
        <v>8</v>
      </c>
      <c r="C33" s="10" t="s">
        <v>76</v>
      </c>
      <c r="D33" s="14" t="s">
        <v>77</v>
      </c>
      <c r="E33" s="12" t="s">
        <v>4</v>
      </c>
      <c r="F33" s="12" t="s">
        <v>16</v>
      </c>
      <c r="G33" s="9" t="s">
        <v>13</v>
      </c>
      <c r="H33" s="15">
        <v>4</v>
      </c>
    </row>
    <row r="34" spans="1:8" x14ac:dyDescent="0.3">
      <c r="A34" s="8">
        <v>33</v>
      </c>
      <c r="B34" s="9" t="s">
        <v>8</v>
      </c>
      <c r="C34" s="10" t="s">
        <v>78</v>
      </c>
      <c r="D34" s="14" t="s">
        <v>79</v>
      </c>
      <c r="E34" s="12" t="s">
        <v>4</v>
      </c>
      <c r="F34" s="12" t="s">
        <v>16</v>
      </c>
      <c r="G34" s="9" t="s">
        <v>13</v>
      </c>
      <c r="H34" s="15">
        <v>5</v>
      </c>
    </row>
    <row r="35" spans="1:8" x14ac:dyDescent="0.3">
      <c r="A35" s="8">
        <v>34</v>
      </c>
      <c r="B35" s="9" t="s">
        <v>8</v>
      </c>
      <c r="C35" s="10" t="s">
        <v>80</v>
      </c>
      <c r="D35" s="14" t="s">
        <v>81</v>
      </c>
      <c r="E35" s="12" t="s">
        <v>4</v>
      </c>
      <c r="F35" s="12" t="s">
        <v>16</v>
      </c>
      <c r="G35" s="9" t="s">
        <v>13</v>
      </c>
      <c r="H35" s="15">
        <v>4</v>
      </c>
    </row>
    <row r="36" spans="1:8" x14ac:dyDescent="0.3">
      <c r="A36" s="8">
        <v>35</v>
      </c>
      <c r="B36" s="9" t="s">
        <v>8</v>
      </c>
      <c r="C36" s="10" t="s">
        <v>82</v>
      </c>
      <c r="D36" s="11" t="s">
        <v>83</v>
      </c>
      <c r="E36" s="12" t="s">
        <v>84</v>
      </c>
      <c r="F36" s="16" t="s">
        <v>12</v>
      </c>
      <c r="G36" s="9" t="s">
        <v>13</v>
      </c>
      <c r="H36" s="12">
        <v>4</v>
      </c>
    </row>
    <row r="37" spans="1:8" x14ac:dyDescent="0.3">
      <c r="A37" s="8">
        <v>36</v>
      </c>
      <c r="B37" s="9" t="s">
        <v>8</v>
      </c>
      <c r="C37" s="10" t="s">
        <v>85</v>
      </c>
      <c r="D37" s="11" t="s">
        <v>86</v>
      </c>
      <c r="E37" s="12" t="s">
        <v>84</v>
      </c>
      <c r="F37" s="16" t="s">
        <v>12</v>
      </c>
      <c r="G37" s="9" t="s">
        <v>13</v>
      </c>
      <c r="H37" s="17">
        <v>3</v>
      </c>
    </row>
    <row r="38" spans="1:8" x14ac:dyDescent="0.3">
      <c r="A38" s="8">
        <v>37</v>
      </c>
      <c r="B38" s="9" t="s">
        <v>8</v>
      </c>
      <c r="C38" s="10" t="s">
        <v>87</v>
      </c>
      <c r="D38" s="11" t="s">
        <v>88</v>
      </c>
      <c r="E38" s="12" t="s">
        <v>4</v>
      </c>
      <c r="F38" s="12" t="s">
        <v>51</v>
      </c>
      <c r="G38" s="9" t="s">
        <v>13</v>
      </c>
      <c r="H38" s="12">
        <v>3</v>
      </c>
    </row>
    <row r="39" spans="1:8" x14ac:dyDescent="0.3">
      <c r="A39" s="8">
        <v>38</v>
      </c>
      <c r="B39" s="9" t="s">
        <v>8</v>
      </c>
      <c r="C39" s="10" t="s">
        <v>89</v>
      </c>
      <c r="D39" s="11" t="s">
        <v>90</v>
      </c>
      <c r="E39" s="12" t="s">
        <v>4</v>
      </c>
      <c r="F39" s="12" t="s">
        <v>51</v>
      </c>
      <c r="G39" s="9" t="s">
        <v>13</v>
      </c>
      <c r="H39" s="12">
        <v>3</v>
      </c>
    </row>
    <row r="40" spans="1:8" x14ac:dyDescent="0.3">
      <c r="A40" s="8">
        <v>39</v>
      </c>
      <c r="B40" s="9" t="s">
        <v>8</v>
      </c>
      <c r="C40" s="10" t="s">
        <v>91</v>
      </c>
      <c r="D40" s="11" t="s">
        <v>92</v>
      </c>
      <c r="E40" s="12" t="s">
        <v>4</v>
      </c>
      <c r="F40" s="12" t="s">
        <v>51</v>
      </c>
      <c r="G40" s="9" t="s">
        <v>13</v>
      </c>
      <c r="H40" s="12">
        <v>5</v>
      </c>
    </row>
    <row r="41" spans="1:8" x14ac:dyDescent="0.3">
      <c r="A41" s="8">
        <v>40</v>
      </c>
      <c r="B41" s="9" t="s">
        <v>8</v>
      </c>
      <c r="C41" s="10" t="s">
        <v>93</v>
      </c>
      <c r="D41" s="11" t="s">
        <v>94</v>
      </c>
      <c r="E41" s="12" t="s">
        <v>4</v>
      </c>
      <c r="F41" s="12" t="s">
        <v>51</v>
      </c>
      <c r="G41" s="9" t="s">
        <v>13</v>
      </c>
      <c r="H41" s="12">
        <v>4</v>
      </c>
    </row>
    <row r="42" spans="1:8" x14ac:dyDescent="0.3">
      <c r="A42" s="8">
        <v>41</v>
      </c>
      <c r="B42" s="9" t="s">
        <v>8</v>
      </c>
      <c r="C42" s="10" t="s">
        <v>95</v>
      </c>
      <c r="D42" s="11" t="s">
        <v>96</v>
      </c>
      <c r="E42" s="12" t="s">
        <v>4</v>
      </c>
      <c r="F42" s="12" t="s">
        <v>51</v>
      </c>
      <c r="G42" s="9" t="s">
        <v>13</v>
      </c>
      <c r="H42" s="12">
        <v>4</v>
      </c>
    </row>
    <row r="43" spans="1:8" x14ac:dyDescent="0.3">
      <c r="A43" s="8">
        <v>42</v>
      </c>
      <c r="B43" s="9" t="s">
        <v>8</v>
      </c>
      <c r="C43" s="10" t="s">
        <v>97</v>
      </c>
      <c r="D43" s="11" t="s">
        <v>98</v>
      </c>
      <c r="E43" s="12" t="s">
        <v>4</v>
      </c>
      <c r="F43" s="12" t="s">
        <v>51</v>
      </c>
      <c r="G43" s="9" t="s">
        <v>13</v>
      </c>
      <c r="H43" s="12">
        <v>4</v>
      </c>
    </row>
    <row r="44" spans="1:8" x14ac:dyDescent="0.3">
      <c r="A44" s="8">
        <v>43</v>
      </c>
      <c r="B44" s="9" t="s">
        <v>8</v>
      </c>
      <c r="C44" s="10" t="s">
        <v>99</v>
      </c>
      <c r="D44" s="11" t="s">
        <v>100</v>
      </c>
      <c r="E44" s="12" t="s">
        <v>4</v>
      </c>
      <c r="F44" s="12" t="s">
        <v>51</v>
      </c>
      <c r="G44" s="9" t="s">
        <v>13</v>
      </c>
      <c r="H44" s="12">
        <v>5</v>
      </c>
    </row>
    <row r="45" spans="1:8" x14ac:dyDescent="0.3">
      <c r="A45" s="8">
        <v>44</v>
      </c>
      <c r="B45" s="9" t="s">
        <v>8</v>
      </c>
      <c r="C45" s="10" t="s">
        <v>101</v>
      </c>
      <c r="D45" s="11" t="s">
        <v>102</v>
      </c>
      <c r="E45" s="12" t="s">
        <v>4</v>
      </c>
      <c r="F45" s="12" t="s">
        <v>51</v>
      </c>
      <c r="G45" s="9" t="s">
        <v>13</v>
      </c>
      <c r="H45" s="12">
        <v>4</v>
      </c>
    </row>
    <row r="46" spans="1:8" x14ac:dyDescent="0.3">
      <c r="A46" s="8">
        <v>45</v>
      </c>
      <c r="B46" s="9" t="s">
        <v>8</v>
      </c>
      <c r="C46" s="10" t="s">
        <v>103</v>
      </c>
      <c r="D46" s="11" t="s">
        <v>104</v>
      </c>
      <c r="E46" s="12" t="s">
        <v>4</v>
      </c>
      <c r="F46" s="12" t="s">
        <v>51</v>
      </c>
      <c r="G46" s="9" t="s">
        <v>13</v>
      </c>
      <c r="H46" s="12">
        <v>3</v>
      </c>
    </row>
    <row r="47" spans="1:8" x14ac:dyDescent="0.3">
      <c r="A47" s="8">
        <v>46</v>
      </c>
      <c r="B47" s="9" t="s">
        <v>8</v>
      </c>
      <c r="C47" s="10" t="s">
        <v>105</v>
      </c>
      <c r="D47" s="11" t="s">
        <v>106</v>
      </c>
      <c r="E47" s="12" t="s">
        <v>4</v>
      </c>
      <c r="F47" s="12" t="s">
        <v>51</v>
      </c>
      <c r="G47" s="9" t="s">
        <v>13</v>
      </c>
      <c r="H47" s="12">
        <v>4</v>
      </c>
    </row>
    <row r="48" spans="1:8" x14ac:dyDescent="0.3">
      <c r="A48" s="8">
        <v>47</v>
      </c>
      <c r="B48" s="9" t="s">
        <v>8</v>
      </c>
      <c r="C48" s="10" t="s">
        <v>107</v>
      </c>
      <c r="D48" s="11" t="s">
        <v>108</v>
      </c>
      <c r="E48" s="12" t="s">
        <v>4</v>
      </c>
      <c r="F48" s="12" t="s">
        <v>51</v>
      </c>
      <c r="G48" s="9" t="s">
        <v>13</v>
      </c>
      <c r="H48" s="12">
        <v>6</v>
      </c>
    </row>
    <row r="49" spans="1:8" x14ac:dyDescent="0.3">
      <c r="A49" s="8">
        <v>48</v>
      </c>
      <c r="B49" s="9" t="s">
        <v>8</v>
      </c>
      <c r="C49" s="10" t="s">
        <v>109</v>
      </c>
      <c r="D49" s="11" t="s">
        <v>110</v>
      </c>
      <c r="E49" s="12" t="s">
        <v>4</v>
      </c>
      <c r="F49" s="12" t="s">
        <v>51</v>
      </c>
      <c r="G49" s="9" t="s">
        <v>13</v>
      </c>
      <c r="H49" s="12">
        <v>3</v>
      </c>
    </row>
    <row r="50" spans="1:8" x14ac:dyDescent="0.3">
      <c r="A50" s="8">
        <v>49</v>
      </c>
      <c r="B50" s="9" t="s">
        <v>8</v>
      </c>
      <c r="C50" s="10" t="s">
        <v>111</v>
      </c>
      <c r="D50" s="11" t="s">
        <v>112</v>
      </c>
      <c r="E50" s="12" t="s">
        <v>4</v>
      </c>
      <c r="F50" s="12" t="s">
        <v>51</v>
      </c>
      <c r="G50" s="9" t="s">
        <v>13</v>
      </c>
      <c r="H50" s="12">
        <v>4</v>
      </c>
    </row>
    <row r="51" spans="1:8" x14ac:dyDescent="0.3">
      <c r="A51" s="8">
        <v>50</v>
      </c>
      <c r="B51" s="9" t="s">
        <v>8</v>
      </c>
      <c r="C51" s="10" t="s">
        <v>113</v>
      </c>
      <c r="D51" s="11" t="s">
        <v>114</v>
      </c>
      <c r="E51" s="12" t="s">
        <v>4</v>
      </c>
      <c r="F51" s="12" t="s">
        <v>51</v>
      </c>
      <c r="G51" s="9" t="s">
        <v>13</v>
      </c>
      <c r="H51" s="12">
        <v>3</v>
      </c>
    </row>
    <row r="52" spans="1:8" x14ac:dyDescent="0.3">
      <c r="A52" s="8">
        <v>51</v>
      </c>
      <c r="B52" s="9" t="s">
        <v>8</v>
      </c>
      <c r="C52" s="10" t="s">
        <v>115</v>
      </c>
      <c r="D52" s="11" t="s">
        <v>116</v>
      </c>
      <c r="E52" s="12" t="s">
        <v>4</v>
      </c>
      <c r="F52" s="12" t="s">
        <v>51</v>
      </c>
      <c r="G52" s="9" t="s">
        <v>13</v>
      </c>
      <c r="H52" s="12">
        <v>3</v>
      </c>
    </row>
    <row r="53" spans="1:8" x14ac:dyDescent="0.3">
      <c r="A53" s="8">
        <v>52</v>
      </c>
      <c r="B53" s="9" t="s">
        <v>8</v>
      </c>
      <c r="C53" s="10" t="s">
        <v>117</v>
      </c>
      <c r="D53" s="11" t="s">
        <v>118</v>
      </c>
      <c r="E53" s="12" t="s">
        <v>4</v>
      </c>
      <c r="F53" s="12" t="s">
        <v>51</v>
      </c>
      <c r="G53" s="9" t="s">
        <v>13</v>
      </c>
      <c r="H53" s="12">
        <v>3</v>
      </c>
    </row>
    <row r="54" spans="1:8" x14ac:dyDescent="0.3">
      <c r="A54" s="8">
        <v>53</v>
      </c>
      <c r="B54" s="9" t="s">
        <v>8</v>
      </c>
      <c r="C54" s="10" t="s">
        <v>119</v>
      </c>
      <c r="D54" s="11" t="s">
        <v>120</v>
      </c>
      <c r="E54" s="12" t="s">
        <v>84</v>
      </c>
      <c r="F54" s="16" t="s">
        <v>12</v>
      </c>
      <c r="G54" s="9" t="s">
        <v>13</v>
      </c>
      <c r="H54" s="12">
        <v>4</v>
      </c>
    </row>
    <row r="55" spans="1:8" x14ac:dyDescent="0.3">
      <c r="A55" s="8">
        <v>54</v>
      </c>
      <c r="B55" s="9" t="s">
        <v>8</v>
      </c>
      <c r="C55" s="10" t="s">
        <v>121</v>
      </c>
      <c r="D55" s="11" t="s">
        <v>122</v>
      </c>
      <c r="E55" s="12" t="s">
        <v>4</v>
      </c>
      <c r="F55" s="12" t="s">
        <v>51</v>
      </c>
      <c r="G55" s="9" t="s">
        <v>13</v>
      </c>
      <c r="H55" s="12">
        <v>3</v>
      </c>
    </row>
    <row r="56" spans="1:8" x14ac:dyDescent="0.3">
      <c r="A56" s="8">
        <v>55</v>
      </c>
      <c r="B56" s="9" t="s">
        <v>8</v>
      </c>
      <c r="C56" s="10" t="s">
        <v>123</v>
      </c>
      <c r="D56" s="11" t="s">
        <v>124</v>
      </c>
      <c r="E56" s="12" t="s">
        <v>4</v>
      </c>
      <c r="F56" s="12" t="s">
        <v>16</v>
      </c>
      <c r="G56" s="9" t="s">
        <v>13</v>
      </c>
      <c r="H56" s="18">
        <v>4</v>
      </c>
    </row>
    <row r="57" spans="1:8" x14ac:dyDescent="0.3">
      <c r="A57" s="8">
        <v>56</v>
      </c>
      <c r="B57" s="9" t="s">
        <v>8</v>
      </c>
      <c r="C57" s="10" t="s">
        <v>125</v>
      </c>
      <c r="D57" s="11" t="s">
        <v>126</v>
      </c>
      <c r="E57" s="12" t="s">
        <v>4</v>
      </c>
      <c r="F57" s="12" t="s">
        <v>16</v>
      </c>
      <c r="G57" s="9" t="s">
        <v>13</v>
      </c>
      <c r="H57" s="18">
        <v>3</v>
      </c>
    </row>
    <row r="58" spans="1:8" x14ac:dyDescent="0.3">
      <c r="A58" s="8">
        <v>57</v>
      </c>
      <c r="B58" s="9" t="s">
        <v>8</v>
      </c>
      <c r="C58" s="10" t="s">
        <v>127</v>
      </c>
      <c r="D58" s="11" t="s">
        <v>128</v>
      </c>
      <c r="E58" s="12" t="s">
        <v>4</v>
      </c>
      <c r="F58" s="12" t="s">
        <v>16</v>
      </c>
      <c r="G58" s="9" t="s">
        <v>13</v>
      </c>
      <c r="H58" s="18">
        <v>4</v>
      </c>
    </row>
    <row r="59" spans="1:8" x14ac:dyDescent="0.3">
      <c r="A59" s="8">
        <v>58</v>
      </c>
      <c r="B59" s="9" t="s">
        <v>8</v>
      </c>
      <c r="C59" s="10" t="s">
        <v>129</v>
      </c>
      <c r="D59" s="11" t="s">
        <v>130</v>
      </c>
      <c r="E59" s="12" t="s">
        <v>4</v>
      </c>
      <c r="F59" s="12" t="s">
        <v>16</v>
      </c>
      <c r="G59" s="9" t="s">
        <v>13</v>
      </c>
      <c r="H59" s="18">
        <v>4</v>
      </c>
    </row>
    <row r="60" spans="1:8" x14ac:dyDescent="0.3">
      <c r="A60" s="8">
        <v>59</v>
      </c>
      <c r="B60" s="9" t="s">
        <v>8</v>
      </c>
      <c r="C60" s="10" t="s">
        <v>131</v>
      </c>
      <c r="D60" s="11" t="s">
        <v>132</v>
      </c>
      <c r="E60" s="12" t="s">
        <v>4</v>
      </c>
      <c r="F60" s="12" t="s">
        <v>16</v>
      </c>
      <c r="G60" s="9" t="s">
        <v>13</v>
      </c>
      <c r="H60" s="18">
        <v>3</v>
      </c>
    </row>
    <row r="61" spans="1:8" x14ac:dyDescent="0.3">
      <c r="A61" s="8">
        <v>60</v>
      </c>
      <c r="B61" s="9" t="s">
        <v>8</v>
      </c>
      <c r="C61" s="10" t="s">
        <v>133</v>
      </c>
      <c r="D61" s="11" t="s">
        <v>134</v>
      </c>
      <c r="E61" s="12" t="s">
        <v>4</v>
      </c>
      <c r="F61" s="12" t="s">
        <v>16</v>
      </c>
      <c r="G61" s="9" t="s">
        <v>13</v>
      </c>
      <c r="H61" s="18">
        <v>7</v>
      </c>
    </row>
    <row r="62" spans="1:8" x14ac:dyDescent="0.3">
      <c r="A62" s="8">
        <v>61</v>
      </c>
      <c r="B62" s="9" t="s">
        <v>8</v>
      </c>
      <c r="C62" s="10" t="s">
        <v>135</v>
      </c>
      <c r="D62" s="14" t="s">
        <v>136</v>
      </c>
      <c r="E62" s="12" t="s">
        <v>4</v>
      </c>
      <c r="F62" s="12" t="s">
        <v>16</v>
      </c>
      <c r="G62" s="9" t="s">
        <v>13</v>
      </c>
      <c r="H62" s="19">
        <v>4</v>
      </c>
    </row>
    <row r="63" spans="1:8" x14ac:dyDescent="0.3">
      <c r="A63" s="8">
        <v>62</v>
      </c>
      <c r="B63" s="9" t="s">
        <v>8</v>
      </c>
      <c r="C63" s="10" t="s">
        <v>137</v>
      </c>
      <c r="D63" s="14" t="s">
        <v>138</v>
      </c>
      <c r="E63" s="12" t="s">
        <v>4</v>
      </c>
      <c r="F63" s="12" t="s">
        <v>16</v>
      </c>
      <c r="G63" s="9" t="s">
        <v>13</v>
      </c>
      <c r="H63" s="20">
        <v>3</v>
      </c>
    </row>
    <row r="64" spans="1:8" x14ac:dyDescent="0.3">
      <c r="A64" s="8">
        <v>63</v>
      </c>
      <c r="B64" s="9" t="s">
        <v>8</v>
      </c>
      <c r="C64" s="10" t="s">
        <v>139</v>
      </c>
      <c r="D64" s="11" t="s">
        <v>140</v>
      </c>
      <c r="E64" s="12" t="s">
        <v>4</v>
      </c>
      <c r="F64" s="12" t="s">
        <v>16</v>
      </c>
      <c r="G64" s="9" t="s">
        <v>13</v>
      </c>
      <c r="H64" s="20">
        <v>4</v>
      </c>
    </row>
    <row r="65" spans="1:9" x14ac:dyDescent="0.3">
      <c r="A65" s="8">
        <v>64</v>
      </c>
      <c r="B65" s="9" t="s">
        <v>8</v>
      </c>
      <c r="C65" s="10" t="s">
        <v>141</v>
      </c>
      <c r="D65" s="11" t="s">
        <v>142</v>
      </c>
      <c r="E65" s="12" t="s">
        <v>4</v>
      </c>
      <c r="F65" s="12" t="s">
        <v>16</v>
      </c>
      <c r="G65" s="9" t="s">
        <v>13</v>
      </c>
      <c r="H65" s="12">
        <v>4</v>
      </c>
    </row>
    <row r="66" spans="1:9" x14ac:dyDescent="0.3">
      <c r="A66" s="8">
        <v>65</v>
      </c>
      <c r="B66" s="9" t="s">
        <v>8</v>
      </c>
      <c r="C66" s="10" t="s">
        <v>143</v>
      </c>
      <c r="D66" s="11" t="s">
        <v>144</v>
      </c>
      <c r="E66" s="12" t="s">
        <v>4</v>
      </c>
      <c r="F66" s="12" t="s">
        <v>16</v>
      </c>
      <c r="G66" s="9" t="s">
        <v>13</v>
      </c>
      <c r="H66" s="12">
        <v>3</v>
      </c>
    </row>
    <row r="67" spans="1:9" x14ac:dyDescent="0.3">
      <c r="A67" s="8">
        <v>66</v>
      </c>
      <c r="B67" s="9" t="s">
        <v>8</v>
      </c>
      <c r="C67" s="10" t="s">
        <v>145</v>
      </c>
      <c r="D67" s="14" t="s">
        <v>146</v>
      </c>
      <c r="E67" s="12" t="s">
        <v>11</v>
      </c>
      <c r="F67" s="21" t="s">
        <v>12</v>
      </c>
      <c r="G67" s="9" t="s">
        <v>13</v>
      </c>
      <c r="H67" s="15">
        <v>4</v>
      </c>
    </row>
    <row r="68" spans="1:9" x14ac:dyDescent="0.3">
      <c r="A68" s="8">
        <v>67</v>
      </c>
      <c r="B68" s="9" t="s">
        <v>8</v>
      </c>
      <c r="C68" s="10" t="s">
        <v>147</v>
      </c>
      <c r="D68" s="11" t="s">
        <v>148</v>
      </c>
      <c r="E68" s="12" t="s">
        <v>4</v>
      </c>
      <c r="F68" s="13" t="s">
        <v>51</v>
      </c>
      <c r="G68" s="9" t="s">
        <v>13</v>
      </c>
      <c r="H68" s="15">
        <v>2</v>
      </c>
    </row>
    <row r="69" spans="1:9" x14ac:dyDescent="0.3">
      <c r="A69" s="8">
        <v>68</v>
      </c>
      <c r="B69" s="9" t="s">
        <v>8</v>
      </c>
      <c r="C69" s="10" t="s">
        <v>149</v>
      </c>
      <c r="D69" s="14" t="s">
        <v>150</v>
      </c>
      <c r="E69" s="12" t="s">
        <v>11</v>
      </c>
      <c r="F69" s="13" t="s">
        <v>12</v>
      </c>
      <c r="G69" s="9" t="s">
        <v>13</v>
      </c>
      <c r="H69" s="15">
        <v>3</v>
      </c>
    </row>
    <row r="70" spans="1:9" x14ac:dyDescent="0.3">
      <c r="A70" s="8">
        <v>69</v>
      </c>
      <c r="B70" s="9" t="s">
        <v>8</v>
      </c>
      <c r="C70" s="10" t="s">
        <v>151</v>
      </c>
      <c r="D70" s="11" t="s">
        <v>152</v>
      </c>
      <c r="E70" s="12" t="s">
        <v>4</v>
      </c>
      <c r="F70" s="13" t="s">
        <v>16</v>
      </c>
      <c r="G70" s="9" t="s">
        <v>13</v>
      </c>
      <c r="H70" s="15">
        <v>4</v>
      </c>
    </row>
    <row r="71" spans="1:9" x14ac:dyDescent="0.3">
      <c r="A71" s="8">
        <v>70</v>
      </c>
      <c r="B71" s="9" t="s">
        <v>8</v>
      </c>
      <c r="C71" s="10" t="s">
        <v>153</v>
      </c>
      <c r="D71" s="11" t="s">
        <v>154</v>
      </c>
      <c r="E71" s="12" t="s">
        <v>11</v>
      </c>
      <c r="F71" s="13" t="s">
        <v>12</v>
      </c>
      <c r="G71" s="9" t="s">
        <v>13</v>
      </c>
      <c r="H71" s="12">
        <v>4</v>
      </c>
    </row>
    <row r="72" spans="1:9" x14ac:dyDescent="0.3">
      <c r="A72" s="8">
        <v>71</v>
      </c>
      <c r="B72" s="9" t="s">
        <v>8</v>
      </c>
      <c r="C72" s="10" t="s">
        <v>155</v>
      </c>
      <c r="D72" s="11" t="s">
        <v>156</v>
      </c>
      <c r="E72" s="13" t="s">
        <v>11</v>
      </c>
      <c r="F72" s="13" t="s">
        <v>12</v>
      </c>
      <c r="G72" s="9" t="s">
        <v>13</v>
      </c>
      <c r="H72" s="12">
        <v>5</v>
      </c>
    </row>
    <row r="73" spans="1:9" x14ac:dyDescent="0.3">
      <c r="A73" s="22">
        <v>72</v>
      </c>
      <c r="B73" s="23" t="s">
        <v>157</v>
      </c>
      <c r="C73" s="24" t="s">
        <v>158</v>
      </c>
      <c r="D73" s="11" t="s">
        <v>159</v>
      </c>
      <c r="E73" s="17" t="s">
        <v>4</v>
      </c>
      <c r="F73" s="17" t="s">
        <v>16</v>
      </c>
      <c r="G73" s="23" t="s">
        <v>13</v>
      </c>
      <c r="H73" s="17">
        <v>3</v>
      </c>
      <c r="I73" s="25" t="s">
        <v>160</v>
      </c>
    </row>
    <row r="74" spans="1:9" x14ac:dyDescent="0.3">
      <c r="A74" s="22">
        <v>73</v>
      </c>
      <c r="B74" s="23" t="s">
        <v>157</v>
      </c>
      <c r="C74" s="24" t="s">
        <v>161</v>
      </c>
      <c r="D74" s="11" t="s">
        <v>159</v>
      </c>
      <c r="E74" s="17" t="s">
        <v>4</v>
      </c>
      <c r="F74" s="17" t="s">
        <v>16</v>
      </c>
      <c r="G74" s="23" t="s">
        <v>13</v>
      </c>
      <c r="H74" s="17">
        <v>4</v>
      </c>
      <c r="I74" s="25" t="s">
        <v>160</v>
      </c>
    </row>
    <row r="75" spans="1:9" x14ac:dyDescent="0.3">
      <c r="A75" s="26">
        <v>74</v>
      </c>
      <c r="B75" s="27" t="s">
        <v>157</v>
      </c>
      <c r="C75" s="28" t="s">
        <v>162</v>
      </c>
      <c r="D75" s="11">
        <v>15071</v>
      </c>
      <c r="E75" s="29" t="s">
        <v>4</v>
      </c>
      <c r="F75" s="29" t="s">
        <v>16</v>
      </c>
      <c r="G75" s="27" t="s">
        <v>13</v>
      </c>
      <c r="H75" s="29">
        <v>3</v>
      </c>
    </row>
    <row r="76" spans="1:9" x14ac:dyDescent="0.3">
      <c r="A76" s="26">
        <v>75</v>
      </c>
      <c r="B76" s="27" t="s">
        <v>157</v>
      </c>
      <c r="C76" s="28" t="s">
        <v>163</v>
      </c>
      <c r="D76" s="11">
        <v>15080</v>
      </c>
      <c r="E76" s="29" t="s">
        <v>4</v>
      </c>
      <c r="F76" s="29" t="s">
        <v>16</v>
      </c>
      <c r="G76" s="27" t="s">
        <v>13</v>
      </c>
      <c r="H76" s="29">
        <v>4</v>
      </c>
    </row>
    <row r="77" spans="1:9" x14ac:dyDescent="0.3">
      <c r="A77" s="26">
        <v>76</v>
      </c>
      <c r="B77" s="27" t="s">
        <v>157</v>
      </c>
      <c r="C77" s="28" t="s">
        <v>164</v>
      </c>
      <c r="D77" s="11">
        <v>15076</v>
      </c>
      <c r="E77" s="29" t="s">
        <v>4</v>
      </c>
      <c r="F77" s="29" t="s">
        <v>16</v>
      </c>
      <c r="G77" s="27" t="s">
        <v>13</v>
      </c>
      <c r="H77" s="29">
        <v>2</v>
      </c>
    </row>
    <row r="78" spans="1:9" x14ac:dyDescent="0.3">
      <c r="A78" s="26">
        <v>77</v>
      </c>
      <c r="B78" s="27" t="s">
        <v>157</v>
      </c>
      <c r="C78" s="28" t="s">
        <v>165</v>
      </c>
      <c r="D78" s="11">
        <v>20061</v>
      </c>
      <c r="E78" s="29" t="s">
        <v>4</v>
      </c>
      <c r="F78" s="29" t="s">
        <v>16</v>
      </c>
      <c r="G78" s="27" t="s">
        <v>13</v>
      </c>
      <c r="H78" s="29">
        <v>2</v>
      </c>
    </row>
    <row r="79" spans="1:9" x14ac:dyDescent="0.3">
      <c r="A79" s="26">
        <v>78</v>
      </c>
      <c r="B79" s="27" t="s">
        <v>157</v>
      </c>
      <c r="C79" s="28" t="s">
        <v>166</v>
      </c>
      <c r="D79" s="11">
        <v>20036</v>
      </c>
      <c r="E79" s="29" t="s">
        <v>4</v>
      </c>
      <c r="F79" s="29" t="s">
        <v>16</v>
      </c>
      <c r="G79" s="27" t="s">
        <v>13</v>
      </c>
      <c r="H79" s="29">
        <v>3</v>
      </c>
    </row>
    <row r="80" spans="1:9" x14ac:dyDescent="0.3">
      <c r="A80" s="26">
        <v>79</v>
      </c>
      <c r="B80" s="27" t="s">
        <v>157</v>
      </c>
      <c r="C80" s="28" t="s">
        <v>167</v>
      </c>
      <c r="D80" s="11">
        <v>17061</v>
      </c>
      <c r="E80" s="29" t="s">
        <v>4</v>
      </c>
      <c r="F80" s="29" t="s">
        <v>16</v>
      </c>
      <c r="G80" s="27" t="s">
        <v>13</v>
      </c>
      <c r="H80" s="29">
        <v>3</v>
      </c>
    </row>
    <row r="81" spans="1:17" x14ac:dyDescent="0.3">
      <c r="A81" s="26">
        <v>80</v>
      </c>
      <c r="B81" s="27" t="s">
        <v>157</v>
      </c>
      <c r="C81" s="28" t="s">
        <v>168</v>
      </c>
      <c r="D81" s="11">
        <v>17047</v>
      </c>
      <c r="E81" s="29" t="s">
        <v>4</v>
      </c>
      <c r="F81" s="29" t="s">
        <v>16</v>
      </c>
      <c r="G81" s="27" t="s">
        <v>13</v>
      </c>
      <c r="H81" s="29">
        <v>4</v>
      </c>
    </row>
    <row r="82" spans="1:17" x14ac:dyDescent="0.3">
      <c r="A82" s="26">
        <v>81</v>
      </c>
      <c r="B82" s="27" t="s">
        <v>157</v>
      </c>
      <c r="C82" s="28" t="s">
        <v>169</v>
      </c>
      <c r="D82" s="11">
        <v>18098</v>
      </c>
      <c r="E82" s="29" t="s">
        <v>4</v>
      </c>
      <c r="F82" s="29" t="s">
        <v>16</v>
      </c>
      <c r="G82" s="27" t="s">
        <v>13</v>
      </c>
      <c r="H82" s="29">
        <v>2</v>
      </c>
    </row>
    <row r="83" spans="1:17" x14ac:dyDescent="0.3">
      <c r="A83" s="26">
        <v>82</v>
      </c>
      <c r="B83" s="27" t="s">
        <v>157</v>
      </c>
      <c r="C83" s="28" t="s">
        <v>170</v>
      </c>
      <c r="D83" s="11">
        <v>18099</v>
      </c>
      <c r="E83" s="29" t="s">
        <v>4</v>
      </c>
      <c r="F83" s="29" t="s">
        <v>16</v>
      </c>
      <c r="G83" s="27" t="s">
        <v>13</v>
      </c>
      <c r="H83" s="29">
        <v>2</v>
      </c>
    </row>
    <row r="84" spans="1:17" x14ac:dyDescent="0.3">
      <c r="A84" s="26">
        <v>83</v>
      </c>
      <c r="B84" s="27" t="s">
        <v>157</v>
      </c>
      <c r="C84" s="28" t="s">
        <v>171</v>
      </c>
      <c r="D84" s="11">
        <v>19077</v>
      </c>
      <c r="E84" s="29" t="s">
        <v>4</v>
      </c>
      <c r="F84" s="29" t="s">
        <v>16</v>
      </c>
      <c r="G84" s="27" t="s">
        <v>13</v>
      </c>
      <c r="H84" s="29">
        <v>2</v>
      </c>
    </row>
    <row r="85" spans="1:17" x14ac:dyDescent="0.3">
      <c r="A85" s="26">
        <v>84</v>
      </c>
      <c r="B85" s="27" t="s">
        <v>157</v>
      </c>
      <c r="C85" s="28" t="s">
        <v>172</v>
      </c>
      <c r="D85" s="11">
        <v>17007</v>
      </c>
      <c r="E85" s="29" t="s">
        <v>4</v>
      </c>
      <c r="F85" s="29" t="s">
        <v>16</v>
      </c>
      <c r="G85" s="27" t="s">
        <v>13</v>
      </c>
      <c r="H85" s="29">
        <v>4</v>
      </c>
    </row>
    <row r="86" spans="1:17" ht="15" thickBot="1" x14ac:dyDescent="0.35">
      <c r="A86" s="26">
        <v>85</v>
      </c>
      <c r="B86" s="27" t="s">
        <v>157</v>
      </c>
      <c r="C86" s="28" t="s">
        <v>173</v>
      </c>
      <c r="D86" s="30">
        <v>1058</v>
      </c>
      <c r="E86" s="29" t="s">
        <v>4</v>
      </c>
      <c r="F86" s="29" t="s">
        <v>16</v>
      </c>
      <c r="G86" s="27" t="s">
        <v>13</v>
      </c>
      <c r="H86" s="29">
        <v>3</v>
      </c>
    </row>
    <row r="87" spans="1:17" ht="15" thickBot="1" x14ac:dyDescent="0.35">
      <c r="A87" s="26">
        <v>86</v>
      </c>
      <c r="B87" s="27" t="s">
        <v>157</v>
      </c>
      <c r="C87" s="28" t="s">
        <v>174</v>
      </c>
      <c r="D87" s="30">
        <v>1059</v>
      </c>
      <c r="E87" s="29" t="s">
        <v>4</v>
      </c>
      <c r="F87" s="29" t="s">
        <v>16</v>
      </c>
      <c r="G87" s="27" t="s">
        <v>13</v>
      </c>
      <c r="H87" s="29">
        <v>4</v>
      </c>
      <c r="I87" s="31">
        <f>SUM(H2:H87)</f>
        <v>304</v>
      </c>
      <c r="J87" s="32" t="s">
        <v>175</v>
      </c>
      <c r="K87" s="33"/>
      <c r="L87" s="33"/>
      <c r="M87" s="33"/>
      <c r="N87" s="33"/>
      <c r="O87" s="33"/>
    </row>
    <row r="88" spans="1:17" ht="39.6" x14ac:dyDescent="0.3">
      <c r="A88" s="26">
        <v>87</v>
      </c>
      <c r="B88" s="27" t="s">
        <v>8</v>
      </c>
      <c r="C88" s="28" t="s">
        <v>176</v>
      </c>
      <c r="D88" s="34" t="s">
        <v>177</v>
      </c>
      <c r="E88" s="29" t="s">
        <v>11</v>
      </c>
      <c r="F88" s="29" t="s">
        <v>12</v>
      </c>
      <c r="G88" s="27" t="s">
        <v>178</v>
      </c>
      <c r="H88" s="29">
        <v>2</v>
      </c>
      <c r="I88" s="53" t="s">
        <v>238</v>
      </c>
      <c r="J88" s="35" t="s">
        <v>179</v>
      </c>
      <c r="K88" s="56" t="s">
        <v>251</v>
      </c>
      <c r="P88" s="57"/>
      <c r="Q88" s="58"/>
    </row>
    <row r="89" spans="1:17" ht="39.6" x14ac:dyDescent="0.3">
      <c r="A89" s="26">
        <v>88</v>
      </c>
      <c r="B89" s="27" t="s">
        <v>8</v>
      </c>
      <c r="C89" s="28" t="s">
        <v>180</v>
      </c>
      <c r="D89" s="34" t="s">
        <v>181</v>
      </c>
      <c r="E89" s="29" t="s">
        <v>11</v>
      </c>
      <c r="F89" s="29" t="s">
        <v>12</v>
      </c>
      <c r="G89" s="27" t="s">
        <v>178</v>
      </c>
      <c r="H89" s="29">
        <v>2</v>
      </c>
      <c r="I89" s="53" t="s">
        <v>239</v>
      </c>
      <c r="J89" s="35" t="s">
        <v>179</v>
      </c>
      <c r="K89" s="56" t="s">
        <v>251</v>
      </c>
      <c r="P89" s="57"/>
      <c r="Q89" s="58"/>
    </row>
    <row r="90" spans="1:17" ht="28.8" x14ac:dyDescent="0.3">
      <c r="A90" s="26">
        <v>89</v>
      </c>
      <c r="B90" s="27" t="s">
        <v>8</v>
      </c>
      <c r="C90" s="28" t="s">
        <v>182</v>
      </c>
      <c r="D90" s="34" t="s">
        <v>183</v>
      </c>
      <c r="E90" s="29" t="s">
        <v>4</v>
      </c>
      <c r="F90" s="29" t="s">
        <v>16</v>
      </c>
      <c r="G90" s="27" t="s">
        <v>178</v>
      </c>
      <c r="H90" s="29">
        <v>4</v>
      </c>
      <c r="I90" s="54" t="s">
        <v>235</v>
      </c>
      <c r="J90" s="35" t="s">
        <v>184</v>
      </c>
      <c r="K90" s="60" t="s">
        <v>251</v>
      </c>
      <c r="P90" s="57"/>
      <c r="Q90" s="58"/>
    </row>
    <row r="91" spans="1:17" ht="92.4" x14ac:dyDescent="0.3">
      <c r="A91" s="26">
        <v>90</v>
      </c>
      <c r="B91" s="27" t="s">
        <v>8</v>
      </c>
      <c r="C91" s="28" t="s">
        <v>185</v>
      </c>
      <c r="D91" s="34" t="s">
        <v>186</v>
      </c>
      <c r="E91" s="29" t="s">
        <v>187</v>
      </c>
      <c r="F91" s="29" t="s">
        <v>188</v>
      </c>
      <c r="G91" s="27" t="s">
        <v>178</v>
      </c>
      <c r="H91" s="29">
        <v>3</v>
      </c>
      <c r="I91" s="53" t="s">
        <v>240</v>
      </c>
      <c r="J91" s="35" t="s">
        <v>179</v>
      </c>
      <c r="K91" s="56" t="s">
        <v>251</v>
      </c>
      <c r="P91" s="57"/>
      <c r="Q91" s="58"/>
    </row>
    <row r="92" spans="1:17" ht="145.19999999999999" x14ac:dyDescent="0.3">
      <c r="A92" s="26">
        <v>91</v>
      </c>
      <c r="B92" s="27" t="s">
        <v>8</v>
      </c>
      <c r="C92" s="28" t="s">
        <v>189</v>
      </c>
      <c r="D92" s="34" t="s">
        <v>190</v>
      </c>
      <c r="E92" s="29" t="s">
        <v>187</v>
      </c>
      <c r="F92" s="29" t="s">
        <v>188</v>
      </c>
      <c r="G92" s="27" t="s">
        <v>178</v>
      </c>
      <c r="H92" s="29">
        <v>4</v>
      </c>
      <c r="I92" s="53" t="s">
        <v>241</v>
      </c>
      <c r="J92" s="35" t="s">
        <v>179</v>
      </c>
      <c r="K92" s="56" t="s">
        <v>251</v>
      </c>
      <c r="P92" s="57"/>
      <c r="Q92" s="58"/>
    </row>
    <row r="93" spans="1:17" ht="118.8" x14ac:dyDescent="0.3">
      <c r="A93" s="26">
        <v>92</v>
      </c>
      <c r="B93" s="27" t="s">
        <v>8</v>
      </c>
      <c r="C93" s="28" t="s">
        <v>191</v>
      </c>
      <c r="D93" s="34" t="s">
        <v>192</v>
      </c>
      <c r="E93" s="29" t="s">
        <v>4</v>
      </c>
      <c r="F93" s="29" t="s">
        <v>16</v>
      </c>
      <c r="G93" s="27" t="s">
        <v>178</v>
      </c>
      <c r="H93" s="29">
        <v>4</v>
      </c>
      <c r="I93" s="53" t="s">
        <v>242</v>
      </c>
      <c r="J93" s="35" t="s">
        <v>179</v>
      </c>
      <c r="K93" s="56" t="s">
        <v>251</v>
      </c>
      <c r="P93" s="57"/>
      <c r="Q93" s="58"/>
    </row>
    <row r="94" spans="1:17" ht="66" x14ac:dyDescent="0.3">
      <c r="A94" s="26">
        <v>93</v>
      </c>
      <c r="B94" s="27" t="s">
        <v>8</v>
      </c>
      <c r="C94" s="28" t="s">
        <v>193</v>
      </c>
      <c r="D94" s="34" t="s">
        <v>194</v>
      </c>
      <c r="E94" s="29" t="s">
        <v>4</v>
      </c>
      <c r="F94" s="29" t="s">
        <v>16</v>
      </c>
      <c r="G94" s="27" t="s">
        <v>178</v>
      </c>
      <c r="H94" s="29">
        <v>3</v>
      </c>
      <c r="I94" s="53" t="s">
        <v>243</v>
      </c>
      <c r="J94" s="35" t="s">
        <v>184</v>
      </c>
      <c r="K94" s="60" t="s">
        <v>251</v>
      </c>
      <c r="P94" s="59"/>
      <c r="Q94" s="59"/>
    </row>
    <row r="95" spans="1:17" ht="28.8" x14ac:dyDescent="0.3">
      <c r="A95" s="26">
        <v>94</v>
      </c>
      <c r="B95" s="27" t="s">
        <v>8</v>
      </c>
      <c r="C95" s="28" t="s">
        <v>195</v>
      </c>
      <c r="D95" s="34" t="s">
        <v>196</v>
      </c>
      <c r="E95" s="29" t="s">
        <v>4</v>
      </c>
      <c r="F95" s="29" t="s">
        <v>16</v>
      </c>
      <c r="G95" s="27" t="s">
        <v>178</v>
      </c>
      <c r="H95" s="29">
        <v>4</v>
      </c>
      <c r="I95" s="54" t="s">
        <v>244</v>
      </c>
      <c r="J95" s="35" t="s">
        <v>179</v>
      </c>
      <c r="K95" s="60" t="s">
        <v>251</v>
      </c>
      <c r="P95" s="59"/>
      <c r="Q95" s="59"/>
    </row>
    <row r="96" spans="1:17" ht="66" x14ac:dyDescent="0.3">
      <c r="A96" s="26">
        <v>95</v>
      </c>
      <c r="B96" s="27" t="s">
        <v>8</v>
      </c>
      <c r="C96" s="28" t="s">
        <v>197</v>
      </c>
      <c r="D96" s="34" t="s">
        <v>198</v>
      </c>
      <c r="E96" s="29" t="s">
        <v>4</v>
      </c>
      <c r="F96" s="29" t="s">
        <v>16</v>
      </c>
      <c r="G96" s="27" t="s">
        <v>178</v>
      </c>
      <c r="H96" s="29">
        <v>3</v>
      </c>
      <c r="I96" s="53" t="s">
        <v>245</v>
      </c>
      <c r="J96" s="35" t="s">
        <v>184</v>
      </c>
      <c r="K96" s="60" t="s">
        <v>251</v>
      </c>
      <c r="P96" s="59"/>
      <c r="Q96" s="59"/>
    </row>
    <row r="97" spans="1:17" ht="105.6" x14ac:dyDescent="0.3">
      <c r="A97" s="26">
        <v>96</v>
      </c>
      <c r="B97" s="27" t="s">
        <v>8</v>
      </c>
      <c r="C97" s="28" t="s">
        <v>199</v>
      </c>
      <c r="D97" s="34" t="s">
        <v>200</v>
      </c>
      <c r="E97" s="29" t="s">
        <v>4</v>
      </c>
      <c r="F97" s="29" t="s">
        <v>16</v>
      </c>
      <c r="G97" s="27" t="s">
        <v>178</v>
      </c>
      <c r="H97" s="29">
        <v>2</v>
      </c>
      <c r="I97" s="53" t="s">
        <v>246</v>
      </c>
      <c r="J97" s="35" t="s">
        <v>179</v>
      </c>
      <c r="K97" s="56" t="s">
        <v>251</v>
      </c>
      <c r="P97" s="57"/>
      <c r="Q97" s="58"/>
    </row>
    <row r="98" spans="1:17" ht="118.8" x14ac:dyDescent="0.3">
      <c r="A98" s="26">
        <v>97</v>
      </c>
      <c r="B98" s="27" t="s">
        <v>8</v>
      </c>
      <c r="C98" s="28" t="s">
        <v>201</v>
      </c>
      <c r="D98" s="34" t="s">
        <v>202</v>
      </c>
      <c r="E98" s="29" t="s">
        <v>11</v>
      </c>
      <c r="F98" s="29" t="s">
        <v>12</v>
      </c>
      <c r="G98" s="27" t="s">
        <v>178</v>
      </c>
      <c r="H98" s="29">
        <v>3</v>
      </c>
      <c r="I98" s="53" t="s">
        <v>247</v>
      </c>
      <c r="J98" s="35" t="s">
        <v>184</v>
      </c>
      <c r="K98" s="60" t="s">
        <v>251</v>
      </c>
      <c r="P98" s="59"/>
      <c r="Q98" s="59"/>
    </row>
    <row r="99" spans="1:17" ht="39.6" x14ac:dyDescent="0.3">
      <c r="A99" s="26">
        <v>98</v>
      </c>
      <c r="B99" s="27" t="s">
        <v>8</v>
      </c>
      <c r="C99" s="28" t="s">
        <v>203</v>
      </c>
      <c r="D99" s="34" t="s">
        <v>204</v>
      </c>
      <c r="E99" s="29" t="s">
        <v>11</v>
      </c>
      <c r="F99" s="29" t="s">
        <v>12</v>
      </c>
      <c r="G99" s="27" t="s">
        <v>178</v>
      </c>
      <c r="H99" s="29">
        <v>2</v>
      </c>
      <c r="I99" s="53" t="s">
        <v>248</v>
      </c>
      <c r="J99" s="35" t="s">
        <v>179</v>
      </c>
      <c r="K99" s="56" t="s">
        <v>251</v>
      </c>
      <c r="P99" s="57"/>
      <c r="Q99" s="58"/>
    </row>
    <row r="100" spans="1:17" ht="39.6" x14ac:dyDescent="0.3">
      <c r="A100" s="26">
        <v>99</v>
      </c>
      <c r="B100" s="27" t="s">
        <v>8</v>
      </c>
      <c r="C100" s="28" t="s">
        <v>205</v>
      </c>
      <c r="D100" s="34" t="s">
        <v>206</v>
      </c>
      <c r="E100" s="29" t="s">
        <v>11</v>
      </c>
      <c r="F100" s="29" t="s">
        <v>12</v>
      </c>
      <c r="G100" s="27" t="s">
        <v>178</v>
      </c>
      <c r="H100" s="29">
        <v>2</v>
      </c>
      <c r="I100" s="53" t="s">
        <v>249</v>
      </c>
      <c r="J100" s="35" t="s">
        <v>179</v>
      </c>
      <c r="K100" s="56" t="s">
        <v>251</v>
      </c>
      <c r="P100" s="57"/>
      <c r="Q100" s="58"/>
    </row>
    <row r="101" spans="1:17" ht="79.2" x14ac:dyDescent="0.3">
      <c r="A101" s="26">
        <v>100</v>
      </c>
      <c r="B101" s="27" t="s">
        <v>8</v>
      </c>
      <c r="C101" s="28" t="s">
        <v>207</v>
      </c>
      <c r="D101" s="34" t="s">
        <v>208</v>
      </c>
      <c r="E101" s="29" t="s">
        <v>11</v>
      </c>
      <c r="F101" s="29" t="s">
        <v>12</v>
      </c>
      <c r="G101" s="27" t="s">
        <v>178</v>
      </c>
      <c r="H101" s="29">
        <v>3</v>
      </c>
      <c r="I101" s="53" t="s">
        <v>250</v>
      </c>
      <c r="J101" s="35" t="s">
        <v>179</v>
      </c>
      <c r="K101" s="56" t="s">
        <v>251</v>
      </c>
      <c r="P101" s="57"/>
      <c r="Q101" s="58"/>
    </row>
    <row r="102" spans="1:17" ht="28.8" x14ac:dyDescent="0.3">
      <c r="A102" s="26">
        <v>101</v>
      </c>
      <c r="B102" s="27" t="s">
        <v>157</v>
      </c>
      <c r="C102" s="28" t="s">
        <v>209</v>
      </c>
      <c r="D102" s="34">
        <v>19062</v>
      </c>
      <c r="E102" s="29" t="s">
        <v>11</v>
      </c>
      <c r="F102" s="29" t="s">
        <v>12</v>
      </c>
      <c r="G102" s="27" t="s">
        <v>178</v>
      </c>
      <c r="H102" s="29">
        <v>3</v>
      </c>
      <c r="I102" s="54" t="s">
        <v>236</v>
      </c>
      <c r="J102" s="35" t="s">
        <v>179</v>
      </c>
      <c r="K102" s="60" t="s">
        <v>251</v>
      </c>
      <c r="P102" s="59"/>
      <c r="Q102" s="59"/>
    </row>
    <row r="103" spans="1:17" ht="28.8" x14ac:dyDescent="0.3">
      <c r="A103" s="26">
        <v>102</v>
      </c>
      <c r="B103" s="27" t="s">
        <v>157</v>
      </c>
      <c r="C103" s="28" t="s">
        <v>210</v>
      </c>
      <c r="D103" s="34">
        <v>19055</v>
      </c>
      <c r="E103" s="29" t="s">
        <v>11</v>
      </c>
      <c r="F103" s="29" t="s">
        <v>12</v>
      </c>
      <c r="G103" s="27" t="s">
        <v>178</v>
      </c>
      <c r="H103" s="29">
        <v>2</v>
      </c>
      <c r="I103" s="54" t="s">
        <v>236</v>
      </c>
      <c r="J103" s="35" t="s">
        <v>179</v>
      </c>
      <c r="K103" s="60" t="s">
        <v>251</v>
      </c>
    </row>
    <row r="104" spans="1:17" ht="28.8" x14ac:dyDescent="0.3">
      <c r="A104" s="26">
        <v>103</v>
      </c>
      <c r="B104" s="27" t="s">
        <v>157</v>
      </c>
      <c r="C104" s="28" t="s">
        <v>211</v>
      </c>
      <c r="D104" s="34">
        <v>19015</v>
      </c>
      <c r="E104" s="29" t="s">
        <v>11</v>
      </c>
      <c r="F104" s="29" t="s">
        <v>12</v>
      </c>
      <c r="G104" s="27" t="s">
        <v>178</v>
      </c>
      <c r="H104" s="29">
        <v>4</v>
      </c>
      <c r="I104" s="54" t="s">
        <v>236</v>
      </c>
      <c r="J104" s="35" t="s">
        <v>179</v>
      </c>
      <c r="K104" s="60" t="s">
        <v>251</v>
      </c>
    </row>
    <row r="105" spans="1:17" ht="28.8" x14ac:dyDescent="0.3">
      <c r="A105" s="26">
        <v>104</v>
      </c>
      <c r="B105" s="27" t="s">
        <v>157</v>
      </c>
      <c r="C105" s="28" t="s">
        <v>212</v>
      </c>
      <c r="D105" s="34">
        <v>19017</v>
      </c>
      <c r="E105" s="29" t="s">
        <v>11</v>
      </c>
      <c r="F105" s="29" t="s">
        <v>12</v>
      </c>
      <c r="G105" s="27" t="s">
        <v>178</v>
      </c>
      <c r="H105" s="29">
        <v>4</v>
      </c>
      <c r="I105" s="54" t="s">
        <v>236</v>
      </c>
      <c r="J105" s="35" t="s">
        <v>179</v>
      </c>
      <c r="K105" s="60" t="s">
        <v>251</v>
      </c>
    </row>
    <row r="106" spans="1:17" ht="28.8" x14ac:dyDescent="0.3">
      <c r="A106" s="26">
        <v>105</v>
      </c>
      <c r="B106" s="27" t="s">
        <v>157</v>
      </c>
      <c r="C106" s="28" t="s">
        <v>213</v>
      </c>
      <c r="D106" s="34">
        <v>19006</v>
      </c>
      <c r="E106" s="29" t="s">
        <v>11</v>
      </c>
      <c r="F106" s="29" t="s">
        <v>12</v>
      </c>
      <c r="G106" s="27" t="s">
        <v>178</v>
      </c>
      <c r="H106" s="29">
        <v>4</v>
      </c>
      <c r="I106" s="54" t="s">
        <v>236</v>
      </c>
      <c r="J106" s="35" t="s">
        <v>179</v>
      </c>
      <c r="K106" s="60" t="s">
        <v>251</v>
      </c>
    </row>
    <row r="107" spans="1:17" ht="28.8" x14ac:dyDescent="0.3">
      <c r="A107" s="26">
        <v>106</v>
      </c>
      <c r="B107" s="27" t="s">
        <v>157</v>
      </c>
      <c r="C107" s="28" t="s">
        <v>214</v>
      </c>
      <c r="D107" s="34">
        <v>18038</v>
      </c>
      <c r="E107" s="29" t="s">
        <v>11</v>
      </c>
      <c r="F107" s="29" t="s">
        <v>12</v>
      </c>
      <c r="G107" s="27" t="s">
        <v>178</v>
      </c>
      <c r="H107" s="29">
        <v>3</v>
      </c>
      <c r="I107" s="54" t="s">
        <v>236</v>
      </c>
      <c r="J107" s="35" t="s">
        <v>179</v>
      </c>
      <c r="K107" s="60" t="s">
        <v>251</v>
      </c>
    </row>
    <row r="108" spans="1:17" ht="28.8" x14ac:dyDescent="0.3">
      <c r="A108" s="26">
        <v>107</v>
      </c>
      <c r="B108" s="27" t="s">
        <v>157</v>
      </c>
      <c r="C108" s="28" t="s">
        <v>215</v>
      </c>
      <c r="D108" s="34">
        <v>18019</v>
      </c>
      <c r="E108" s="29" t="s">
        <v>11</v>
      </c>
      <c r="F108" s="29" t="s">
        <v>12</v>
      </c>
      <c r="G108" s="27" t="s">
        <v>178</v>
      </c>
      <c r="H108" s="29">
        <v>2</v>
      </c>
      <c r="I108" s="54" t="s">
        <v>236</v>
      </c>
      <c r="J108" s="35" t="s">
        <v>179</v>
      </c>
      <c r="K108" s="60" t="s">
        <v>251</v>
      </c>
    </row>
    <row r="109" spans="1:17" ht="28.8" x14ac:dyDescent="0.3">
      <c r="A109" s="26">
        <v>108</v>
      </c>
      <c r="B109" s="27" t="s">
        <v>157</v>
      </c>
      <c r="C109" s="28" t="s">
        <v>216</v>
      </c>
      <c r="D109" s="34">
        <v>19028</v>
      </c>
      <c r="E109" s="29" t="s">
        <v>11</v>
      </c>
      <c r="F109" s="29" t="s">
        <v>12</v>
      </c>
      <c r="G109" s="27" t="s">
        <v>178</v>
      </c>
      <c r="H109" s="29">
        <v>3</v>
      </c>
      <c r="I109" s="54" t="s">
        <v>236</v>
      </c>
      <c r="J109" s="35" t="s">
        <v>179</v>
      </c>
      <c r="K109" s="60" t="s">
        <v>251</v>
      </c>
    </row>
    <row r="110" spans="1:17" ht="28.8" x14ac:dyDescent="0.3">
      <c r="A110" s="26">
        <v>109</v>
      </c>
      <c r="B110" s="27" t="s">
        <v>157</v>
      </c>
      <c r="C110" s="28" t="s">
        <v>217</v>
      </c>
      <c r="D110" s="34">
        <v>19029</v>
      </c>
      <c r="E110" s="29" t="s">
        <v>11</v>
      </c>
      <c r="F110" s="29" t="s">
        <v>12</v>
      </c>
      <c r="G110" s="27" t="s">
        <v>178</v>
      </c>
      <c r="H110" s="29">
        <v>4</v>
      </c>
      <c r="I110" s="54" t="s">
        <v>236</v>
      </c>
      <c r="J110" s="35" t="s">
        <v>179</v>
      </c>
      <c r="K110" s="60" t="s">
        <v>251</v>
      </c>
    </row>
    <row r="111" spans="1:17" ht="28.8" x14ac:dyDescent="0.3">
      <c r="A111" s="26">
        <v>110</v>
      </c>
      <c r="B111" s="27" t="s">
        <v>157</v>
      </c>
      <c r="C111" s="28" t="s">
        <v>218</v>
      </c>
      <c r="D111" s="34">
        <v>1023</v>
      </c>
      <c r="E111" s="29" t="s">
        <v>4</v>
      </c>
      <c r="F111" s="29" t="s">
        <v>16</v>
      </c>
      <c r="G111" s="27" t="s">
        <v>178</v>
      </c>
      <c r="H111" s="29">
        <v>3</v>
      </c>
      <c r="I111" s="54" t="s">
        <v>236</v>
      </c>
      <c r="J111" s="35" t="s">
        <v>179</v>
      </c>
      <c r="K111" s="60" t="s">
        <v>251</v>
      </c>
    </row>
    <row r="112" spans="1:17" ht="28.8" x14ac:dyDescent="0.3">
      <c r="A112" s="26">
        <v>111</v>
      </c>
      <c r="B112" s="27" t="s">
        <v>157</v>
      </c>
      <c r="C112" s="28" t="s">
        <v>219</v>
      </c>
      <c r="D112" s="34">
        <v>1024</v>
      </c>
      <c r="E112" s="29" t="s">
        <v>4</v>
      </c>
      <c r="F112" s="29" t="s">
        <v>16</v>
      </c>
      <c r="G112" s="27" t="s">
        <v>178</v>
      </c>
      <c r="H112" s="29">
        <v>4</v>
      </c>
      <c r="I112" s="54" t="s">
        <v>236</v>
      </c>
      <c r="J112" s="35" t="s">
        <v>179</v>
      </c>
      <c r="K112" s="60" t="s">
        <v>251</v>
      </c>
    </row>
    <row r="113" spans="1:11" ht="28.8" x14ac:dyDescent="0.3">
      <c r="A113" s="51">
        <v>112</v>
      </c>
      <c r="B113" s="23" t="s">
        <v>157</v>
      </c>
      <c r="C113" s="24" t="s">
        <v>221</v>
      </c>
      <c r="D113" s="52">
        <v>15014</v>
      </c>
      <c r="E113" s="17" t="s">
        <v>11</v>
      </c>
      <c r="F113" s="17" t="s">
        <v>12</v>
      </c>
      <c r="G113" s="23" t="s">
        <v>178</v>
      </c>
      <c r="H113" s="17">
        <v>3</v>
      </c>
      <c r="I113" s="54" t="s">
        <v>236</v>
      </c>
      <c r="J113" s="35" t="s">
        <v>179</v>
      </c>
      <c r="K113" s="60" t="s">
        <v>251</v>
      </c>
    </row>
    <row r="114" spans="1:11" ht="28.8" x14ac:dyDescent="0.3">
      <c r="A114" s="51">
        <v>113</v>
      </c>
      <c r="B114" s="23" t="s">
        <v>157</v>
      </c>
      <c r="C114" s="24" t="s">
        <v>222</v>
      </c>
      <c r="D114" s="52">
        <v>1218</v>
      </c>
      <c r="E114" s="17" t="s">
        <v>11</v>
      </c>
      <c r="F114" s="17" t="s">
        <v>12</v>
      </c>
      <c r="G114" s="23" t="s">
        <v>178</v>
      </c>
      <c r="H114" s="17">
        <v>4</v>
      </c>
      <c r="I114" s="54" t="s">
        <v>236</v>
      </c>
      <c r="J114" s="35" t="s">
        <v>179</v>
      </c>
      <c r="K114" s="60" t="s">
        <v>251</v>
      </c>
    </row>
    <row r="115" spans="1:11" ht="28.8" x14ac:dyDescent="0.3">
      <c r="A115" s="51">
        <v>114</v>
      </c>
      <c r="B115" s="23" t="s">
        <v>157</v>
      </c>
      <c r="C115" s="24" t="s">
        <v>223</v>
      </c>
      <c r="D115" s="52">
        <v>1104</v>
      </c>
      <c r="E115" s="17" t="s">
        <v>11</v>
      </c>
      <c r="F115" s="17" t="s">
        <v>12</v>
      </c>
      <c r="G115" s="23" t="s">
        <v>178</v>
      </c>
      <c r="H115" s="17">
        <v>4</v>
      </c>
      <c r="I115" s="54" t="s">
        <v>236</v>
      </c>
      <c r="J115" s="35" t="s">
        <v>179</v>
      </c>
      <c r="K115" s="60" t="s">
        <v>251</v>
      </c>
    </row>
    <row r="116" spans="1:11" ht="28.8" x14ac:dyDescent="0.3">
      <c r="A116" s="51">
        <v>115</v>
      </c>
      <c r="B116" s="23" t="s">
        <v>157</v>
      </c>
      <c r="C116" s="24" t="s">
        <v>224</v>
      </c>
      <c r="D116" s="52">
        <v>1093</v>
      </c>
      <c r="E116" s="17" t="s">
        <v>11</v>
      </c>
      <c r="F116" s="17" t="s">
        <v>12</v>
      </c>
      <c r="G116" s="23" t="s">
        <v>178</v>
      </c>
      <c r="H116" s="17">
        <v>3</v>
      </c>
      <c r="I116" s="54" t="s">
        <v>236</v>
      </c>
      <c r="J116" s="35" t="s">
        <v>179</v>
      </c>
      <c r="K116" s="60" t="s">
        <v>251</v>
      </c>
    </row>
    <row r="117" spans="1:11" ht="28.8" x14ac:dyDescent="0.3">
      <c r="A117" s="51">
        <v>116</v>
      </c>
      <c r="B117" s="23" t="s">
        <v>157</v>
      </c>
      <c r="C117" s="24" t="s">
        <v>225</v>
      </c>
      <c r="D117" s="52">
        <v>1044</v>
      </c>
      <c r="E117" s="17" t="s">
        <v>11</v>
      </c>
      <c r="F117" s="17" t="s">
        <v>12</v>
      </c>
      <c r="G117" s="23" t="s">
        <v>178</v>
      </c>
      <c r="H117" s="17">
        <v>4</v>
      </c>
      <c r="I117" s="54" t="s">
        <v>236</v>
      </c>
      <c r="J117" s="35" t="s">
        <v>179</v>
      </c>
      <c r="K117" s="60" t="s">
        <v>251</v>
      </c>
    </row>
    <row r="118" spans="1:11" ht="28.8" x14ac:dyDescent="0.3">
      <c r="A118" s="51">
        <v>117</v>
      </c>
      <c r="B118" s="23" t="s">
        <v>157</v>
      </c>
      <c r="C118" s="24" t="s">
        <v>226</v>
      </c>
      <c r="D118" s="52">
        <v>1003</v>
      </c>
      <c r="E118" s="17" t="s">
        <v>4</v>
      </c>
      <c r="F118" s="17" t="s">
        <v>16</v>
      </c>
      <c r="G118" s="23" t="s">
        <v>178</v>
      </c>
      <c r="H118" s="17">
        <v>4</v>
      </c>
      <c r="I118" s="54" t="s">
        <v>237</v>
      </c>
      <c r="J118" s="35" t="s">
        <v>179</v>
      </c>
      <c r="K118" s="60" t="s">
        <v>251</v>
      </c>
    </row>
    <row r="119" spans="1:11" ht="28.8" x14ac:dyDescent="0.3">
      <c r="A119" s="51">
        <v>118</v>
      </c>
      <c r="B119" s="23" t="s">
        <v>157</v>
      </c>
      <c r="C119" s="24" t="s">
        <v>227</v>
      </c>
      <c r="D119" s="52">
        <v>2092</v>
      </c>
      <c r="E119" s="17" t="s">
        <v>4</v>
      </c>
      <c r="F119" s="17" t="s">
        <v>16</v>
      </c>
      <c r="G119" s="23" t="s">
        <v>178</v>
      </c>
      <c r="H119" s="17">
        <v>4</v>
      </c>
      <c r="I119" s="54" t="s">
        <v>236</v>
      </c>
      <c r="J119" s="35" t="s">
        <v>179</v>
      </c>
      <c r="K119" s="60" t="s">
        <v>251</v>
      </c>
    </row>
    <row r="120" spans="1:11" ht="28.8" x14ac:dyDescent="0.3">
      <c r="A120" s="51">
        <v>119</v>
      </c>
      <c r="B120" s="23" t="s">
        <v>157</v>
      </c>
      <c r="C120" s="24" t="s">
        <v>228</v>
      </c>
      <c r="D120" s="52">
        <v>16026</v>
      </c>
      <c r="E120" s="17" t="s">
        <v>11</v>
      </c>
      <c r="F120" s="17" t="s">
        <v>12</v>
      </c>
      <c r="G120" s="23" t="s">
        <v>178</v>
      </c>
      <c r="H120" s="17">
        <v>4</v>
      </c>
      <c r="I120" s="54" t="s">
        <v>236</v>
      </c>
      <c r="J120" s="35" t="s">
        <v>179</v>
      </c>
      <c r="K120" s="60" t="s">
        <v>251</v>
      </c>
    </row>
    <row r="121" spans="1:11" ht="28.8" x14ac:dyDescent="0.3">
      <c r="A121" s="51">
        <v>120</v>
      </c>
      <c r="B121" s="23" t="s">
        <v>157</v>
      </c>
      <c r="C121" s="24" t="s">
        <v>229</v>
      </c>
      <c r="D121" s="52">
        <v>16027</v>
      </c>
      <c r="E121" s="17" t="s">
        <v>11</v>
      </c>
      <c r="F121" s="17" t="s">
        <v>12</v>
      </c>
      <c r="G121" s="23" t="s">
        <v>178</v>
      </c>
      <c r="H121" s="17">
        <v>4</v>
      </c>
      <c r="I121" s="54" t="s">
        <v>236</v>
      </c>
      <c r="J121" s="35" t="s">
        <v>179</v>
      </c>
      <c r="K121" s="60" t="s">
        <v>251</v>
      </c>
    </row>
    <row r="122" spans="1:11" ht="28.8" x14ac:dyDescent="0.3">
      <c r="A122" s="51">
        <v>121</v>
      </c>
      <c r="B122" s="23" t="s">
        <v>157</v>
      </c>
      <c r="C122" s="24" t="s">
        <v>230</v>
      </c>
      <c r="D122" s="52">
        <v>17114</v>
      </c>
      <c r="E122" s="17" t="s">
        <v>11</v>
      </c>
      <c r="F122" s="17" t="s">
        <v>12</v>
      </c>
      <c r="G122" s="23" t="s">
        <v>178</v>
      </c>
      <c r="H122" s="17">
        <v>3</v>
      </c>
      <c r="I122" s="54" t="s">
        <v>236</v>
      </c>
      <c r="J122" s="35" t="s">
        <v>179</v>
      </c>
      <c r="K122" s="60" t="s">
        <v>251</v>
      </c>
    </row>
    <row r="123" spans="1:11" ht="28.8" x14ac:dyDescent="0.3">
      <c r="A123" s="51">
        <v>122</v>
      </c>
      <c r="B123" s="23" t="s">
        <v>157</v>
      </c>
      <c r="C123" s="24" t="s">
        <v>231</v>
      </c>
      <c r="D123" s="52">
        <v>19013</v>
      </c>
      <c r="E123" s="17" t="s">
        <v>11</v>
      </c>
      <c r="F123" s="17" t="s">
        <v>12</v>
      </c>
      <c r="G123" s="23" t="s">
        <v>178</v>
      </c>
      <c r="H123" s="17">
        <v>3</v>
      </c>
      <c r="I123" s="54" t="s">
        <v>236</v>
      </c>
      <c r="J123" s="35" t="s">
        <v>179</v>
      </c>
      <c r="K123" s="60" t="s">
        <v>251</v>
      </c>
    </row>
    <row r="124" spans="1:11" ht="29.4" thickBot="1" x14ac:dyDescent="0.35">
      <c r="A124" s="51">
        <v>123</v>
      </c>
      <c r="B124" s="23" t="s">
        <v>157</v>
      </c>
      <c r="C124" s="24" t="s">
        <v>232</v>
      </c>
      <c r="D124" s="52">
        <v>19014</v>
      </c>
      <c r="E124" s="17" t="s">
        <v>11</v>
      </c>
      <c r="F124" s="17" t="s">
        <v>12</v>
      </c>
      <c r="G124" s="23" t="s">
        <v>178</v>
      </c>
      <c r="H124" s="17">
        <v>3</v>
      </c>
      <c r="I124" s="54" t="s">
        <v>236</v>
      </c>
      <c r="J124" s="35" t="s">
        <v>179</v>
      </c>
      <c r="K124" s="60" t="s">
        <v>251</v>
      </c>
    </row>
    <row r="125" spans="1:11" ht="15" thickBot="1" x14ac:dyDescent="0.35">
      <c r="H125" s="39">
        <f>SUM(H2:H124)</f>
        <v>424</v>
      </c>
    </row>
    <row r="126" spans="1:11" ht="15" thickBot="1" x14ac:dyDescent="0.35">
      <c r="B126" s="43"/>
      <c r="C126" s="46"/>
      <c r="H126" s="40">
        <v>1</v>
      </c>
      <c r="I126" s="41" t="s">
        <v>220</v>
      </c>
    </row>
    <row r="127" spans="1:11" ht="15" thickBot="1" x14ac:dyDescent="0.35">
      <c r="B127" s="47">
        <f>+COUNTIF(B2:B124,C127)</f>
        <v>85</v>
      </c>
      <c r="C127" s="48" t="s">
        <v>8</v>
      </c>
      <c r="E127" s="42" t="s">
        <v>188</v>
      </c>
      <c r="F127" s="43">
        <f>+COUNTIF(F2:F124,E127)</f>
        <v>2</v>
      </c>
      <c r="H127" s="39">
        <f>+H125+H126</f>
        <v>425</v>
      </c>
      <c r="I127" s="41"/>
    </row>
    <row r="128" spans="1:11" x14ac:dyDescent="0.3">
      <c r="B128" s="47">
        <f>+COUNTIF(B2:B124,C128)</f>
        <v>38</v>
      </c>
      <c r="C128" s="48" t="s">
        <v>157</v>
      </c>
      <c r="E128" s="42" t="s">
        <v>12</v>
      </c>
      <c r="F128" s="43">
        <f>+COUNTIF(F2:F124,E128)</f>
        <v>37</v>
      </c>
    </row>
    <row r="129" spans="1:9" x14ac:dyDescent="0.3">
      <c r="B129" s="47"/>
      <c r="C129" s="50" t="s">
        <v>233</v>
      </c>
      <c r="E129" s="42" t="s">
        <v>51</v>
      </c>
      <c r="F129" s="43">
        <f>+COUNTIF(F2:F124,E129)</f>
        <v>28</v>
      </c>
      <c r="H129" s="40"/>
      <c r="I129" s="41"/>
    </row>
    <row r="130" spans="1:9" ht="15" thickBot="1" x14ac:dyDescent="0.35">
      <c r="A130" s="44"/>
      <c r="C130" s="50" t="s">
        <v>234</v>
      </c>
      <c r="E130" s="42" t="s">
        <v>16</v>
      </c>
      <c r="F130" s="43">
        <f>+COUNTIF(F2:F124,E130)</f>
        <v>56</v>
      </c>
      <c r="I130" s="41"/>
    </row>
    <row r="131" spans="1:9" ht="15" thickBot="1" x14ac:dyDescent="0.35">
      <c r="B131" s="49">
        <f>SUBTOTAL(9,B126:B129)</f>
        <v>123</v>
      </c>
      <c r="E131" s="44"/>
      <c r="F131" s="45">
        <f>SUBTOTAL(9,F127:F130)</f>
        <v>123</v>
      </c>
      <c r="I131" s="41"/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1D02-605C-41AE-A5FE-34E78FB1B1EC}">
  <dimension ref="A1:S106"/>
  <sheetViews>
    <sheetView workbookViewId="0">
      <selection sqref="A1:XFD1048576"/>
    </sheetView>
  </sheetViews>
  <sheetFormatPr defaultRowHeight="14.4" x14ac:dyDescent="0.3"/>
  <cols>
    <col min="1" max="1" width="6.5546875" style="36" bestFit="1" customWidth="1"/>
    <col min="2" max="2" width="11.6640625" style="37" customWidth="1"/>
    <col min="3" max="3" width="39.88671875" bestFit="1" customWidth="1"/>
    <col min="6" max="6" width="10.109375" bestFit="1" customWidth="1"/>
    <col min="7" max="7" width="8.88671875" style="38"/>
    <col min="8" max="8" width="10.21875" customWidth="1"/>
    <col min="9" max="9" width="41.77734375" customWidth="1"/>
    <col min="10" max="10" width="43" bestFit="1" customWidth="1"/>
    <col min="11" max="11" width="8" style="73" customWidth="1"/>
    <col min="14" max="14" width="73.6640625" customWidth="1"/>
  </cols>
  <sheetData>
    <row r="1" spans="1:8" ht="39.6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7" t="s">
        <v>7</v>
      </c>
    </row>
    <row r="2" spans="1:8" x14ac:dyDescent="0.3">
      <c r="A2" s="8">
        <v>1</v>
      </c>
      <c r="B2" s="9" t="s">
        <v>8</v>
      </c>
      <c r="C2" s="10" t="s">
        <v>264</v>
      </c>
      <c r="D2" s="30" t="s">
        <v>265</v>
      </c>
      <c r="E2" s="12" t="s">
        <v>4</v>
      </c>
      <c r="F2" s="13" t="s">
        <v>16</v>
      </c>
      <c r="G2" s="9" t="s">
        <v>13</v>
      </c>
      <c r="H2" s="12">
        <v>3</v>
      </c>
    </row>
    <row r="3" spans="1:8" x14ac:dyDescent="0.3">
      <c r="A3" s="8">
        <v>2</v>
      </c>
      <c r="B3" s="9" t="s">
        <v>8</v>
      </c>
      <c r="C3" s="10" t="s">
        <v>266</v>
      </c>
      <c r="D3" s="30" t="s">
        <v>267</v>
      </c>
      <c r="E3" s="12" t="s">
        <v>4</v>
      </c>
      <c r="F3" s="12" t="s">
        <v>16</v>
      </c>
      <c r="G3" s="9" t="s">
        <v>13</v>
      </c>
      <c r="H3" s="12">
        <v>2</v>
      </c>
    </row>
    <row r="4" spans="1:8" x14ac:dyDescent="0.3">
      <c r="A4" s="8">
        <v>3</v>
      </c>
      <c r="B4" s="9" t="s">
        <v>8</v>
      </c>
      <c r="C4" s="10" t="s">
        <v>268</v>
      </c>
      <c r="D4" s="30" t="s">
        <v>269</v>
      </c>
      <c r="E4" s="12" t="s">
        <v>4</v>
      </c>
      <c r="F4" s="12" t="s">
        <v>16</v>
      </c>
      <c r="G4" s="9" t="s">
        <v>13</v>
      </c>
      <c r="H4" s="12">
        <v>3</v>
      </c>
    </row>
    <row r="5" spans="1:8" x14ac:dyDescent="0.3">
      <c r="A5" s="8">
        <v>4</v>
      </c>
      <c r="B5" s="9" t="s">
        <v>8</v>
      </c>
      <c r="C5" s="10" t="s">
        <v>270</v>
      </c>
      <c r="D5" s="30" t="s">
        <v>271</v>
      </c>
      <c r="E5" s="12" t="s">
        <v>4</v>
      </c>
      <c r="F5" s="12" t="s">
        <v>16</v>
      </c>
      <c r="G5" s="9" t="s">
        <v>13</v>
      </c>
      <c r="H5" s="12">
        <v>2</v>
      </c>
    </row>
    <row r="6" spans="1:8" x14ac:dyDescent="0.3">
      <c r="A6" s="8">
        <v>5</v>
      </c>
      <c r="B6" s="9" t="s">
        <v>8</v>
      </c>
      <c r="C6" s="10" t="s">
        <v>272</v>
      </c>
      <c r="D6" s="30" t="s">
        <v>273</v>
      </c>
      <c r="E6" s="12" t="s">
        <v>4</v>
      </c>
      <c r="F6" s="12" t="s">
        <v>16</v>
      </c>
      <c r="G6" s="9" t="s">
        <v>13</v>
      </c>
      <c r="H6" s="12">
        <v>4</v>
      </c>
    </row>
    <row r="7" spans="1:8" x14ac:dyDescent="0.3">
      <c r="A7" s="8">
        <v>6</v>
      </c>
      <c r="B7" s="9" t="s">
        <v>8</v>
      </c>
      <c r="C7" s="10" t="s">
        <v>274</v>
      </c>
      <c r="D7" s="30" t="s">
        <v>275</v>
      </c>
      <c r="E7" s="12" t="s">
        <v>4</v>
      </c>
      <c r="F7" s="13" t="s">
        <v>51</v>
      </c>
      <c r="G7" s="9" t="s">
        <v>13</v>
      </c>
      <c r="H7" s="15">
        <v>4</v>
      </c>
    </row>
    <row r="8" spans="1:8" x14ac:dyDescent="0.3">
      <c r="A8" s="8">
        <v>7</v>
      </c>
      <c r="B8" s="9" t="s">
        <v>8</v>
      </c>
      <c r="C8" s="10" t="s">
        <v>276</v>
      </c>
      <c r="D8" s="30" t="s">
        <v>277</v>
      </c>
      <c r="E8" s="12" t="s">
        <v>4</v>
      </c>
      <c r="F8" s="13" t="s">
        <v>51</v>
      </c>
      <c r="G8" s="9" t="s">
        <v>13</v>
      </c>
      <c r="H8" s="15">
        <v>2</v>
      </c>
    </row>
    <row r="9" spans="1:8" x14ac:dyDescent="0.3">
      <c r="A9" s="8">
        <v>8</v>
      </c>
      <c r="B9" s="9" t="s">
        <v>8</v>
      </c>
      <c r="C9" s="10" t="s">
        <v>278</v>
      </c>
      <c r="D9" s="30" t="s">
        <v>277</v>
      </c>
      <c r="E9" s="12" t="s">
        <v>4</v>
      </c>
      <c r="F9" s="12" t="s">
        <v>51</v>
      </c>
      <c r="G9" s="9" t="s">
        <v>13</v>
      </c>
      <c r="H9" s="12">
        <v>5</v>
      </c>
    </row>
    <row r="10" spans="1:8" x14ac:dyDescent="0.3">
      <c r="A10" s="8">
        <v>9</v>
      </c>
      <c r="B10" s="9" t="s">
        <v>8</v>
      </c>
      <c r="C10" s="10" t="s">
        <v>279</v>
      </c>
      <c r="D10" s="30" t="s">
        <v>280</v>
      </c>
      <c r="E10" s="12" t="s">
        <v>4</v>
      </c>
      <c r="F10" s="12" t="s">
        <v>51</v>
      </c>
      <c r="G10" s="9" t="s">
        <v>13</v>
      </c>
      <c r="H10" s="12">
        <v>4</v>
      </c>
    </row>
    <row r="11" spans="1:8" x14ac:dyDescent="0.3">
      <c r="A11" s="8">
        <v>10</v>
      </c>
      <c r="B11" s="9" t="s">
        <v>8</v>
      </c>
      <c r="C11" s="10" t="s">
        <v>281</v>
      </c>
      <c r="D11" s="30" t="s">
        <v>282</v>
      </c>
      <c r="E11" s="12" t="s">
        <v>4</v>
      </c>
      <c r="F11" s="12" t="s">
        <v>51</v>
      </c>
      <c r="G11" s="9" t="s">
        <v>13</v>
      </c>
      <c r="H11" s="12">
        <v>5</v>
      </c>
    </row>
    <row r="12" spans="1:8" x14ac:dyDescent="0.3">
      <c r="A12" s="8">
        <v>11</v>
      </c>
      <c r="B12" s="9" t="s">
        <v>8</v>
      </c>
      <c r="C12" s="10" t="s">
        <v>283</v>
      </c>
      <c r="D12" s="30" t="s">
        <v>284</v>
      </c>
      <c r="E12" s="12" t="s">
        <v>4</v>
      </c>
      <c r="F12" s="12" t="s">
        <v>51</v>
      </c>
      <c r="G12" s="9" t="s">
        <v>13</v>
      </c>
      <c r="H12" s="12">
        <v>3</v>
      </c>
    </row>
    <row r="13" spans="1:8" x14ac:dyDescent="0.3">
      <c r="A13" s="8">
        <v>12</v>
      </c>
      <c r="B13" s="9" t="s">
        <v>8</v>
      </c>
      <c r="C13" s="10" t="s">
        <v>285</v>
      </c>
      <c r="D13" s="30" t="s">
        <v>286</v>
      </c>
      <c r="E13" s="12" t="s">
        <v>4</v>
      </c>
      <c r="F13" s="12" t="s">
        <v>51</v>
      </c>
      <c r="G13" s="9" t="s">
        <v>13</v>
      </c>
      <c r="H13" s="12">
        <v>4</v>
      </c>
    </row>
    <row r="14" spans="1:8" x14ac:dyDescent="0.3">
      <c r="A14" s="8">
        <v>13</v>
      </c>
      <c r="B14" s="9" t="s">
        <v>8</v>
      </c>
      <c r="C14" s="10" t="s">
        <v>287</v>
      </c>
      <c r="D14" s="30" t="s">
        <v>288</v>
      </c>
      <c r="E14" s="12" t="s">
        <v>4</v>
      </c>
      <c r="F14" s="16" t="s">
        <v>16</v>
      </c>
      <c r="G14" s="9" t="s">
        <v>13</v>
      </c>
      <c r="H14" s="12">
        <v>4</v>
      </c>
    </row>
    <row r="15" spans="1:8" x14ac:dyDescent="0.3">
      <c r="A15" s="8">
        <v>14</v>
      </c>
      <c r="B15" s="9" t="s">
        <v>8</v>
      </c>
      <c r="C15" s="10" t="s">
        <v>289</v>
      </c>
      <c r="D15" s="30" t="s">
        <v>290</v>
      </c>
      <c r="E15" s="12" t="s">
        <v>4</v>
      </c>
      <c r="F15" s="16" t="s">
        <v>51</v>
      </c>
      <c r="G15" s="9" t="s">
        <v>13</v>
      </c>
      <c r="H15" s="12">
        <v>4</v>
      </c>
    </row>
    <row r="16" spans="1:8" x14ac:dyDescent="0.3">
      <c r="A16" s="8">
        <v>15</v>
      </c>
      <c r="B16" s="9" t="s">
        <v>8</v>
      </c>
      <c r="C16" s="10" t="s">
        <v>291</v>
      </c>
      <c r="D16" s="30" t="s">
        <v>292</v>
      </c>
      <c r="E16" s="12" t="s">
        <v>4</v>
      </c>
      <c r="F16" s="12" t="s">
        <v>51</v>
      </c>
      <c r="G16" s="9" t="s">
        <v>13</v>
      </c>
      <c r="H16" s="12">
        <v>4</v>
      </c>
    </row>
    <row r="17" spans="1:8" x14ac:dyDescent="0.3">
      <c r="A17" s="8">
        <v>16</v>
      </c>
      <c r="B17" s="9" t="s">
        <v>8</v>
      </c>
      <c r="C17" s="10" t="s">
        <v>293</v>
      </c>
      <c r="D17" s="30" t="s">
        <v>294</v>
      </c>
      <c r="E17" s="12" t="s">
        <v>4</v>
      </c>
      <c r="F17" s="12" t="s">
        <v>51</v>
      </c>
      <c r="G17" s="9" t="s">
        <v>13</v>
      </c>
      <c r="H17" s="12">
        <v>4</v>
      </c>
    </row>
    <row r="18" spans="1:8" x14ac:dyDescent="0.3">
      <c r="A18" s="8">
        <v>17</v>
      </c>
      <c r="B18" s="9" t="s">
        <v>8</v>
      </c>
      <c r="C18" s="10" t="s">
        <v>295</v>
      </c>
      <c r="D18" s="30" t="s">
        <v>296</v>
      </c>
      <c r="E18" s="12" t="s">
        <v>4</v>
      </c>
      <c r="F18" s="12" t="s">
        <v>51</v>
      </c>
      <c r="G18" s="9" t="s">
        <v>13</v>
      </c>
      <c r="H18" s="12">
        <v>3</v>
      </c>
    </row>
    <row r="19" spans="1:8" x14ac:dyDescent="0.3">
      <c r="A19" s="8">
        <v>18</v>
      </c>
      <c r="B19" s="9" t="s">
        <v>8</v>
      </c>
      <c r="C19" s="10" t="s">
        <v>297</v>
      </c>
      <c r="D19" s="30" t="s">
        <v>298</v>
      </c>
      <c r="E19" s="12" t="s">
        <v>4</v>
      </c>
      <c r="F19" s="12" t="s">
        <v>51</v>
      </c>
      <c r="G19" s="9" t="s">
        <v>13</v>
      </c>
      <c r="H19" s="12">
        <v>4</v>
      </c>
    </row>
    <row r="20" spans="1:8" x14ac:dyDescent="0.3">
      <c r="A20" s="8">
        <v>19</v>
      </c>
      <c r="B20" s="9" t="s">
        <v>8</v>
      </c>
      <c r="C20" s="10" t="s">
        <v>299</v>
      </c>
      <c r="D20" s="30" t="s">
        <v>300</v>
      </c>
      <c r="E20" s="12" t="s">
        <v>4</v>
      </c>
      <c r="F20" s="12" t="s">
        <v>51</v>
      </c>
      <c r="G20" s="9" t="s">
        <v>13</v>
      </c>
      <c r="H20" s="12">
        <v>4</v>
      </c>
    </row>
    <row r="21" spans="1:8" x14ac:dyDescent="0.3">
      <c r="A21" s="8">
        <v>20</v>
      </c>
      <c r="B21" s="9" t="s">
        <v>8</v>
      </c>
      <c r="C21" s="10" t="s">
        <v>301</v>
      </c>
      <c r="D21" s="30" t="s">
        <v>302</v>
      </c>
      <c r="E21" s="12" t="s">
        <v>4</v>
      </c>
      <c r="F21" s="12" t="s">
        <v>16</v>
      </c>
      <c r="G21" s="9" t="s">
        <v>13</v>
      </c>
      <c r="H21" s="12">
        <v>4</v>
      </c>
    </row>
    <row r="22" spans="1:8" x14ac:dyDescent="0.3">
      <c r="A22" s="8">
        <v>21</v>
      </c>
      <c r="B22" s="9" t="s">
        <v>8</v>
      </c>
      <c r="C22" s="10" t="s">
        <v>303</v>
      </c>
      <c r="D22" s="30" t="s">
        <v>304</v>
      </c>
      <c r="E22" s="12" t="s">
        <v>4</v>
      </c>
      <c r="F22" s="12" t="s">
        <v>16</v>
      </c>
      <c r="G22" s="9" t="s">
        <v>13</v>
      </c>
      <c r="H22" s="12">
        <v>4</v>
      </c>
    </row>
    <row r="23" spans="1:8" x14ac:dyDescent="0.3">
      <c r="A23" s="8">
        <v>22</v>
      </c>
      <c r="B23" s="9" t="s">
        <v>8</v>
      </c>
      <c r="C23" s="10" t="s">
        <v>305</v>
      </c>
      <c r="D23" s="30" t="s">
        <v>306</v>
      </c>
      <c r="E23" s="12" t="s">
        <v>4</v>
      </c>
      <c r="F23" s="12" t="s">
        <v>16</v>
      </c>
      <c r="G23" s="9" t="s">
        <v>13</v>
      </c>
      <c r="H23" s="12">
        <v>4</v>
      </c>
    </row>
    <row r="24" spans="1:8" x14ac:dyDescent="0.3">
      <c r="A24" s="8">
        <v>23</v>
      </c>
      <c r="B24" s="9" t="s">
        <v>8</v>
      </c>
      <c r="C24" s="10" t="s">
        <v>307</v>
      </c>
      <c r="D24" s="30" t="s">
        <v>308</v>
      </c>
      <c r="E24" s="12" t="s">
        <v>4</v>
      </c>
      <c r="F24" s="12" t="s">
        <v>16</v>
      </c>
      <c r="G24" s="9" t="s">
        <v>13</v>
      </c>
      <c r="H24" s="12">
        <v>4</v>
      </c>
    </row>
    <row r="25" spans="1:8" x14ac:dyDescent="0.3">
      <c r="A25" s="8">
        <v>24</v>
      </c>
      <c r="B25" s="9" t="s">
        <v>8</v>
      </c>
      <c r="C25" s="10" t="s">
        <v>309</v>
      </c>
      <c r="D25" s="30" t="s">
        <v>310</v>
      </c>
      <c r="E25" s="12" t="s">
        <v>4</v>
      </c>
      <c r="F25" s="12" t="s">
        <v>16</v>
      </c>
      <c r="G25" s="9" t="s">
        <v>13</v>
      </c>
      <c r="H25" s="12">
        <v>4</v>
      </c>
    </row>
    <row r="26" spans="1:8" x14ac:dyDescent="0.3">
      <c r="A26" s="8">
        <v>25</v>
      </c>
      <c r="B26" s="9" t="s">
        <v>8</v>
      </c>
      <c r="C26" s="10" t="s">
        <v>311</v>
      </c>
      <c r="D26" s="30" t="s">
        <v>312</v>
      </c>
      <c r="E26" s="12" t="s">
        <v>4</v>
      </c>
      <c r="F26" s="12" t="s">
        <v>16</v>
      </c>
      <c r="G26" s="9" t="s">
        <v>13</v>
      </c>
      <c r="H26" s="12">
        <v>3</v>
      </c>
    </row>
    <row r="27" spans="1:8" x14ac:dyDescent="0.3">
      <c r="A27" s="8">
        <v>26</v>
      </c>
      <c r="B27" s="9" t="s">
        <v>8</v>
      </c>
      <c r="C27" s="10" t="s">
        <v>313</v>
      </c>
      <c r="D27" s="30" t="s">
        <v>314</v>
      </c>
      <c r="E27" s="12" t="s">
        <v>4</v>
      </c>
      <c r="F27" s="12" t="s">
        <v>16</v>
      </c>
      <c r="G27" s="9" t="s">
        <v>13</v>
      </c>
      <c r="H27" s="12">
        <v>4</v>
      </c>
    </row>
    <row r="28" spans="1:8" x14ac:dyDescent="0.3">
      <c r="A28" s="8">
        <v>27</v>
      </c>
      <c r="B28" s="9" t="s">
        <v>8</v>
      </c>
      <c r="C28" s="10" t="s">
        <v>315</v>
      </c>
      <c r="D28" s="30" t="s">
        <v>316</v>
      </c>
      <c r="E28" s="12" t="s">
        <v>4</v>
      </c>
      <c r="F28" s="12" t="s">
        <v>16</v>
      </c>
      <c r="G28" s="9" t="s">
        <v>13</v>
      </c>
      <c r="H28" s="12">
        <v>4</v>
      </c>
    </row>
    <row r="29" spans="1:8" x14ac:dyDescent="0.3">
      <c r="A29" s="8">
        <v>28</v>
      </c>
      <c r="B29" s="9" t="s">
        <v>8</v>
      </c>
      <c r="C29" s="10" t="s">
        <v>317</v>
      </c>
      <c r="D29" s="30" t="s">
        <v>318</v>
      </c>
      <c r="E29" s="12" t="s">
        <v>4</v>
      </c>
      <c r="F29" s="12" t="s">
        <v>51</v>
      </c>
      <c r="G29" s="9" t="s">
        <v>13</v>
      </c>
      <c r="H29" s="12">
        <v>4</v>
      </c>
    </row>
    <row r="30" spans="1:8" x14ac:dyDescent="0.3">
      <c r="A30" s="8">
        <v>29</v>
      </c>
      <c r="B30" s="9" t="s">
        <v>8</v>
      </c>
      <c r="C30" s="10" t="s">
        <v>319</v>
      </c>
      <c r="D30" s="30" t="s">
        <v>320</v>
      </c>
      <c r="E30" s="12" t="s">
        <v>4</v>
      </c>
      <c r="F30" s="12" t="s">
        <v>51</v>
      </c>
      <c r="G30" s="9" t="s">
        <v>13</v>
      </c>
      <c r="H30" s="12">
        <v>3</v>
      </c>
    </row>
    <row r="31" spans="1:8" x14ac:dyDescent="0.3">
      <c r="A31" s="8">
        <v>30</v>
      </c>
      <c r="B31" s="9" t="s">
        <v>8</v>
      </c>
      <c r="C31" s="10" t="s">
        <v>321</v>
      </c>
      <c r="D31" s="30" t="s">
        <v>322</v>
      </c>
      <c r="E31" s="12" t="s">
        <v>4</v>
      </c>
      <c r="F31" s="12" t="s">
        <v>51</v>
      </c>
      <c r="G31" s="9" t="s">
        <v>13</v>
      </c>
      <c r="H31" s="12">
        <v>4</v>
      </c>
    </row>
    <row r="32" spans="1:8" x14ac:dyDescent="0.3">
      <c r="A32" s="8">
        <v>31</v>
      </c>
      <c r="B32" s="9" t="s">
        <v>8</v>
      </c>
      <c r="C32" s="10" t="s">
        <v>323</v>
      </c>
      <c r="D32" s="30" t="s">
        <v>324</v>
      </c>
      <c r="E32" s="12" t="s">
        <v>4</v>
      </c>
      <c r="F32" s="12" t="s">
        <v>51</v>
      </c>
      <c r="G32" s="9" t="s">
        <v>13</v>
      </c>
      <c r="H32" s="12">
        <v>3</v>
      </c>
    </row>
    <row r="33" spans="1:8" x14ac:dyDescent="0.3">
      <c r="A33" s="8">
        <v>32</v>
      </c>
      <c r="B33" s="9" t="s">
        <v>8</v>
      </c>
      <c r="C33" s="10" t="s">
        <v>325</v>
      </c>
      <c r="D33" s="30" t="s">
        <v>326</v>
      </c>
      <c r="E33" s="12" t="s">
        <v>4</v>
      </c>
      <c r="F33" s="12" t="s">
        <v>51</v>
      </c>
      <c r="G33" s="9" t="s">
        <v>13</v>
      </c>
      <c r="H33" s="15">
        <v>3</v>
      </c>
    </row>
    <row r="34" spans="1:8" x14ac:dyDescent="0.3">
      <c r="A34" s="8">
        <v>33</v>
      </c>
      <c r="B34" s="9" t="s">
        <v>8</v>
      </c>
      <c r="C34" s="10" t="s">
        <v>327</v>
      </c>
      <c r="D34" s="30" t="s">
        <v>328</v>
      </c>
      <c r="E34" s="12" t="s">
        <v>4</v>
      </c>
      <c r="F34" s="12" t="s">
        <v>51</v>
      </c>
      <c r="G34" s="9" t="s">
        <v>13</v>
      </c>
      <c r="H34" s="15">
        <v>3</v>
      </c>
    </row>
    <row r="35" spans="1:8" x14ac:dyDescent="0.3">
      <c r="A35" s="8">
        <v>34</v>
      </c>
      <c r="B35" s="9" t="s">
        <v>8</v>
      </c>
      <c r="C35" s="10" t="s">
        <v>329</v>
      </c>
      <c r="D35" s="30" t="s">
        <v>330</v>
      </c>
      <c r="E35" s="12" t="s">
        <v>4</v>
      </c>
      <c r="F35" s="12" t="s">
        <v>16</v>
      </c>
      <c r="G35" s="9" t="s">
        <v>13</v>
      </c>
      <c r="H35" s="15">
        <v>6</v>
      </c>
    </row>
    <row r="36" spans="1:8" x14ac:dyDescent="0.3">
      <c r="A36" s="8">
        <v>35</v>
      </c>
      <c r="B36" s="9" t="s">
        <v>8</v>
      </c>
      <c r="C36" s="10" t="s">
        <v>331</v>
      </c>
      <c r="D36" s="30" t="s">
        <v>332</v>
      </c>
      <c r="E36" s="12" t="s">
        <v>4</v>
      </c>
      <c r="F36" s="16" t="s">
        <v>51</v>
      </c>
      <c r="G36" s="9" t="s">
        <v>13</v>
      </c>
      <c r="H36" s="12">
        <v>4</v>
      </c>
    </row>
    <row r="37" spans="1:8" x14ac:dyDescent="0.3">
      <c r="A37" s="8">
        <v>36</v>
      </c>
      <c r="B37" s="9" t="s">
        <v>8</v>
      </c>
      <c r="C37" s="10" t="s">
        <v>333</v>
      </c>
      <c r="D37" s="30" t="s">
        <v>334</v>
      </c>
      <c r="E37" s="12" t="s">
        <v>11</v>
      </c>
      <c r="F37" s="16" t="s">
        <v>12</v>
      </c>
      <c r="G37" s="9" t="s">
        <v>13</v>
      </c>
      <c r="H37" s="12">
        <v>3</v>
      </c>
    </row>
    <row r="38" spans="1:8" x14ac:dyDescent="0.3">
      <c r="A38" s="8">
        <v>37</v>
      </c>
      <c r="B38" s="9" t="s">
        <v>8</v>
      </c>
      <c r="C38" s="10" t="s">
        <v>335</v>
      </c>
      <c r="D38" s="30" t="s">
        <v>336</v>
      </c>
      <c r="E38" s="12" t="s">
        <v>4</v>
      </c>
      <c r="F38" s="12" t="s">
        <v>16</v>
      </c>
      <c r="G38" s="9" t="s">
        <v>13</v>
      </c>
      <c r="H38" s="12">
        <v>4</v>
      </c>
    </row>
    <row r="39" spans="1:8" x14ac:dyDescent="0.3">
      <c r="A39" s="8">
        <v>38</v>
      </c>
      <c r="B39" s="9" t="s">
        <v>8</v>
      </c>
      <c r="C39" s="10" t="s">
        <v>337</v>
      </c>
      <c r="D39" s="30" t="s">
        <v>338</v>
      </c>
      <c r="E39" s="12" t="s">
        <v>4</v>
      </c>
      <c r="F39" s="12" t="s">
        <v>16</v>
      </c>
      <c r="G39" s="9" t="s">
        <v>13</v>
      </c>
      <c r="H39" s="12">
        <v>3</v>
      </c>
    </row>
    <row r="40" spans="1:8" x14ac:dyDescent="0.3">
      <c r="A40" s="8">
        <v>39</v>
      </c>
      <c r="B40" s="9" t="s">
        <v>8</v>
      </c>
      <c r="C40" s="10" t="s">
        <v>339</v>
      </c>
      <c r="D40" s="30" t="s">
        <v>340</v>
      </c>
      <c r="E40" s="12" t="s">
        <v>4</v>
      </c>
      <c r="F40" s="12" t="s">
        <v>16</v>
      </c>
      <c r="G40" s="9" t="s">
        <v>13</v>
      </c>
      <c r="H40" s="12">
        <v>3</v>
      </c>
    </row>
    <row r="41" spans="1:8" x14ac:dyDescent="0.3">
      <c r="A41" s="8">
        <v>40</v>
      </c>
      <c r="B41" s="9" t="s">
        <v>8</v>
      </c>
      <c r="C41" s="10" t="s">
        <v>341</v>
      </c>
      <c r="D41" s="30" t="s">
        <v>342</v>
      </c>
      <c r="E41" s="12" t="s">
        <v>4</v>
      </c>
      <c r="F41" s="12" t="s">
        <v>16</v>
      </c>
      <c r="G41" s="9" t="s">
        <v>13</v>
      </c>
      <c r="H41" s="12">
        <v>5</v>
      </c>
    </row>
    <row r="42" spans="1:8" x14ac:dyDescent="0.3">
      <c r="A42" s="8">
        <v>41</v>
      </c>
      <c r="B42" s="9" t="s">
        <v>8</v>
      </c>
      <c r="C42" s="10" t="s">
        <v>343</v>
      </c>
      <c r="D42" s="30" t="s">
        <v>344</v>
      </c>
      <c r="E42" s="12" t="s">
        <v>4</v>
      </c>
      <c r="F42" s="12" t="s">
        <v>16</v>
      </c>
      <c r="G42" s="9" t="s">
        <v>13</v>
      </c>
      <c r="H42" s="12">
        <v>4</v>
      </c>
    </row>
    <row r="43" spans="1:8" x14ac:dyDescent="0.3">
      <c r="A43" s="8">
        <v>42</v>
      </c>
      <c r="B43" s="9" t="s">
        <v>8</v>
      </c>
      <c r="C43" s="10" t="s">
        <v>345</v>
      </c>
      <c r="D43" s="30" t="s">
        <v>346</v>
      </c>
      <c r="E43" s="12" t="s">
        <v>4</v>
      </c>
      <c r="F43" s="12" t="s">
        <v>16</v>
      </c>
      <c r="G43" s="9" t="s">
        <v>13</v>
      </c>
      <c r="H43" s="12">
        <v>4</v>
      </c>
    </row>
    <row r="44" spans="1:8" x14ac:dyDescent="0.3">
      <c r="A44" s="8">
        <v>43</v>
      </c>
      <c r="B44" s="9" t="s">
        <v>8</v>
      </c>
      <c r="C44" s="10" t="s">
        <v>347</v>
      </c>
      <c r="D44" s="30" t="s">
        <v>348</v>
      </c>
      <c r="E44" s="12" t="s">
        <v>4</v>
      </c>
      <c r="F44" s="12" t="s">
        <v>16</v>
      </c>
      <c r="G44" s="9" t="s">
        <v>13</v>
      </c>
      <c r="H44" s="12">
        <v>4</v>
      </c>
    </row>
    <row r="45" spans="1:8" x14ac:dyDescent="0.3">
      <c r="A45" s="8">
        <v>44</v>
      </c>
      <c r="B45" s="9" t="s">
        <v>8</v>
      </c>
      <c r="C45" s="10" t="s">
        <v>349</v>
      </c>
      <c r="D45" s="30" t="s">
        <v>350</v>
      </c>
      <c r="E45" s="12" t="s">
        <v>4</v>
      </c>
      <c r="F45" s="12" t="s">
        <v>16</v>
      </c>
      <c r="G45" s="9" t="s">
        <v>13</v>
      </c>
      <c r="H45" s="12">
        <v>3</v>
      </c>
    </row>
    <row r="46" spans="1:8" x14ac:dyDescent="0.3">
      <c r="A46" s="8">
        <v>45</v>
      </c>
      <c r="B46" s="9" t="s">
        <v>8</v>
      </c>
      <c r="C46" s="10" t="s">
        <v>351</v>
      </c>
      <c r="D46" s="30" t="s">
        <v>352</v>
      </c>
      <c r="E46" s="12" t="s">
        <v>4</v>
      </c>
      <c r="F46" s="12" t="s">
        <v>16</v>
      </c>
      <c r="G46" s="9" t="s">
        <v>13</v>
      </c>
      <c r="H46" s="12">
        <v>3</v>
      </c>
    </row>
    <row r="47" spans="1:8" x14ac:dyDescent="0.3">
      <c r="A47" s="8">
        <v>46</v>
      </c>
      <c r="B47" s="9" t="s">
        <v>8</v>
      </c>
      <c r="C47" s="10" t="s">
        <v>353</v>
      </c>
      <c r="D47" s="30" t="s">
        <v>354</v>
      </c>
      <c r="E47" s="12" t="s">
        <v>4</v>
      </c>
      <c r="F47" s="12" t="s">
        <v>16</v>
      </c>
      <c r="G47" s="9" t="s">
        <v>13</v>
      </c>
      <c r="H47" s="12">
        <v>6</v>
      </c>
    </row>
    <row r="48" spans="1:8" x14ac:dyDescent="0.3">
      <c r="A48" s="8">
        <v>47</v>
      </c>
      <c r="B48" s="9" t="s">
        <v>8</v>
      </c>
      <c r="C48" s="10" t="s">
        <v>355</v>
      </c>
      <c r="D48" s="30" t="s">
        <v>356</v>
      </c>
      <c r="E48" s="12" t="s">
        <v>4</v>
      </c>
      <c r="F48" s="12" t="s">
        <v>16</v>
      </c>
      <c r="G48" s="9" t="s">
        <v>13</v>
      </c>
      <c r="H48" s="12">
        <v>4</v>
      </c>
    </row>
    <row r="49" spans="1:8" x14ac:dyDescent="0.3">
      <c r="A49" s="8">
        <v>48</v>
      </c>
      <c r="B49" s="9" t="s">
        <v>8</v>
      </c>
      <c r="C49" s="10" t="s">
        <v>357</v>
      </c>
      <c r="D49" s="30" t="s">
        <v>358</v>
      </c>
      <c r="E49" s="12" t="s">
        <v>4</v>
      </c>
      <c r="F49" s="12" t="s">
        <v>16</v>
      </c>
      <c r="G49" s="9" t="s">
        <v>13</v>
      </c>
      <c r="H49" s="12">
        <v>3</v>
      </c>
    </row>
    <row r="50" spans="1:8" x14ac:dyDescent="0.3">
      <c r="A50" s="8">
        <v>49</v>
      </c>
      <c r="B50" s="9" t="s">
        <v>8</v>
      </c>
      <c r="C50" s="10" t="s">
        <v>359</v>
      </c>
      <c r="D50" s="30" t="s">
        <v>360</v>
      </c>
      <c r="E50" s="12" t="s">
        <v>4</v>
      </c>
      <c r="F50" s="12" t="s">
        <v>16</v>
      </c>
      <c r="G50" s="9" t="s">
        <v>13</v>
      </c>
      <c r="H50" s="12">
        <v>3</v>
      </c>
    </row>
    <row r="51" spans="1:8" x14ac:dyDescent="0.3">
      <c r="A51" s="8">
        <v>50</v>
      </c>
      <c r="B51" s="9" t="s">
        <v>8</v>
      </c>
      <c r="C51" s="10" t="s">
        <v>361</v>
      </c>
      <c r="D51" s="30" t="s">
        <v>362</v>
      </c>
      <c r="E51" s="12" t="s">
        <v>4</v>
      </c>
      <c r="F51" s="12" t="s">
        <v>16</v>
      </c>
      <c r="G51" s="9" t="s">
        <v>13</v>
      </c>
      <c r="H51" s="12">
        <v>3</v>
      </c>
    </row>
    <row r="52" spans="1:8" x14ac:dyDescent="0.3">
      <c r="A52" s="8">
        <v>51</v>
      </c>
      <c r="B52" s="9" t="s">
        <v>8</v>
      </c>
      <c r="C52" s="10" t="s">
        <v>363</v>
      </c>
      <c r="D52" s="30" t="s">
        <v>364</v>
      </c>
      <c r="E52" s="12" t="s">
        <v>4</v>
      </c>
      <c r="F52" s="12" t="s">
        <v>16</v>
      </c>
      <c r="G52" s="9" t="s">
        <v>13</v>
      </c>
      <c r="H52" s="12">
        <v>4</v>
      </c>
    </row>
    <row r="53" spans="1:8" x14ac:dyDescent="0.3">
      <c r="A53" s="8">
        <v>52</v>
      </c>
      <c r="B53" s="9" t="s">
        <v>157</v>
      </c>
      <c r="C53" s="10" t="s">
        <v>365</v>
      </c>
      <c r="D53" s="30">
        <v>3097</v>
      </c>
      <c r="E53" s="12" t="s">
        <v>4</v>
      </c>
      <c r="F53" s="12" t="s">
        <v>16</v>
      </c>
      <c r="G53" s="9" t="s">
        <v>13</v>
      </c>
      <c r="H53" s="12">
        <v>2</v>
      </c>
    </row>
    <row r="54" spans="1:8" x14ac:dyDescent="0.3">
      <c r="A54" s="8">
        <v>53</v>
      </c>
      <c r="B54" s="9" t="s">
        <v>157</v>
      </c>
      <c r="C54" s="10" t="s">
        <v>366</v>
      </c>
      <c r="D54" s="30">
        <v>4123</v>
      </c>
      <c r="E54" s="12" t="s">
        <v>4</v>
      </c>
      <c r="F54" s="16" t="s">
        <v>16</v>
      </c>
      <c r="G54" s="9" t="s">
        <v>13</v>
      </c>
      <c r="H54" s="12">
        <v>4</v>
      </c>
    </row>
    <row r="55" spans="1:8" x14ac:dyDescent="0.3">
      <c r="A55" s="8">
        <v>54</v>
      </c>
      <c r="B55" s="9" t="s">
        <v>157</v>
      </c>
      <c r="C55" s="10" t="s">
        <v>367</v>
      </c>
      <c r="D55" s="30">
        <v>4124</v>
      </c>
      <c r="E55" s="12" t="s">
        <v>4</v>
      </c>
      <c r="F55" s="12" t="s">
        <v>16</v>
      </c>
      <c r="G55" s="9" t="s">
        <v>13</v>
      </c>
      <c r="H55" s="12">
        <v>3</v>
      </c>
    </row>
    <row r="56" spans="1:8" x14ac:dyDescent="0.3">
      <c r="A56" s="8">
        <v>55</v>
      </c>
      <c r="B56" s="9" t="s">
        <v>157</v>
      </c>
      <c r="C56" s="10" t="s">
        <v>368</v>
      </c>
      <c r="D56" s="30">
        <v>4006</v>
      </c>
      <c r="E56" s="12" t="s">
        <v>4</v>
      </c>
      <c r="F56" s="12" t="s">
        <v>16</v>
      </c>
      <c r="G56" s="9" t="s">
        <v>13</v>
      </c>
      <c r="H56" s="18">
        <v>4</v>
      </c>
    </row>
    <row r="57" spans="1:8" x14ac:dyDescent="0.3">
      <c r="A57" s="8">
        <v>56</v>
      </c>
      <c r="B57" s="9" t="s">
        <v>157</v>
      </c>
      <c r="C57" s="10" t="s">
        <v>369</v>
      </c>
      <c r="D57" s="30">
        <v>2079</v>
      </c>
      <c r="E57" s="12" t="s">
        <v>4</v>
      </c>
      <c r="F57" s="12" t="s">
        <v>16</v>
      </c>
      <c r="G57" s="9" t="s">
        <v>13</v>
      </c>
      <c r="H57" s="18">
        <v>2</v>
      </c>
    </row>
    <row r="58" spans="1:8" x14ac:dyDescent="0.3">
      <c r="A58" s="8">
        <v>57</v>
      </c>
      <c r="B58" s="9" t="s">
        <v>157</v>
      </c>
      <c r="C58" s="10" t="s">
        <v>370</v>
      </c>
      <c r="D58" s="30">
        <v>2011</v>
      </c>
      <c r="E58" s="12" t="s">
        <v>4</v>
      </c>
      <c r="F58" s="12" t="s">
        <v>16</v>
      </c>
      <c r="G58" s="9" t="s">
        <v>13</v>
      </c>
      <c r="H58" s="18">
        <v>6</v>
      </c>
    </row>
    <row r="59" spans="1:8" x14ac:dyDescent="0.3">
      <c r="A59" s="8">
        <v>58</v>
      </c>
      <c r="B59" s="9" t="s">
        <v>157</v>
      </c>
      <c r="C59" s="10" t="s">
        <v>371</v>
      </c>
      <c r="D59" s="30">
        <v>4140</v>
      </c>
      <c r="E59" s="12" t="s">
        <v>4</v>
      </c>
      <c r="F59" s="12" t="s">
        <v>16</v>
      </c>
      <c r="G59" s="9" t="s">
        <v>13</v>
      </c>
      <c r="H59" s="18">
        <v>2</v>
      </c>
    </row>
    <row r="60" spans="1:8" x14ac:dyDescent="0.3">
      <c r="A60" s="8">
        <v>59</v>
      </c>
      <c r="B60" s="9" t="s">
        <v>157</v>
      </c>
      <c r="C60" s="10" t="s">
        <v>372</v>
      </c>
      <c r="D60" s="30">
        <v>5106</v>
      </c>
      <c r="E60" s="12" t="s">
        <v>4</v>
      </c>
      <c r="F60" s="12" t="s">
        <v>16</v>
      </c>
      <c r="G60" s="9" t="s">
        <v>13</v>
      </c>
      <c r="H60" s="18">
        <v>2</v>
      </c>
    </row>
    <row r="61" spans="1:8" x14ac:dyDescent="0.3">
      <c r="A61" s="8">
        <v>60</v>
      </c>
      <c r="B61" s="9" t="s">
        <v>157</v>
      </c>
      <c r="C61" s="10" t="s">
        <v>373</v>
      </c>
      <c r="D61" s="30">
        <v>2028</v>
      </c>
      <c r="E61" s="12" t="s">
        <v>11</v>
      </c>
      <c r="F61" s="12" t="s">
        <v>12</v>
      </c>
      <c r="G61" s="9" t="s">
        <v>13</v>
      </c>
      <c r="H61" s="18">
        <v>3</v>
      </c>
    </row>
    <row r="62" spans="1:8" x14ac:dyDescent="0.3">
      <c r="A62" s="8">
        <v>61</v>
      </c>
      <c r="B62" s="9" t="s">
        <v>157</v>
      </c>
      <c r="C62" s="10" t="s">
        <v>374</v>
      </c>
      <c r="D62" s="30">
        <v>2029</v>
      </c>
      <c r="E62" s="12" t="s">
        <v>11</v>
      </c>
      <c r="F62" s="12" t="s">
        <v>12</v>
      </c>
      <c r="G62" s="9" t="s">
        <v>13</v>
      </c>
      <c r="H62" s="19">
        <v>5</v>
      </c>
    </row>
    <row r="63" spans="1:8" x14ac:dyDescent="0.3">
      <c r="A63" s="8">
        <v>62</v>
      </c>
      <c r="B63" s="9" t="s">
        <v>157</v>
      </c>
      <c r="C63" s="10" t="s">
        <v>375</v>
      </c>
      <c r="D63" s="30">
        <v>2066</v>
      </c>
      <c r="E63" s="12" t="s">
        <v>11</v>
      </c>
      <c r="F63" s="12" t="s">
        <v>12</v>
      </c>
      <c r="G63" s="9" t="s">
        <v>13</v>
      </c>
      <c r="H63" s="20">
        <v>4</v>
      </c>
    </row>
    <row r="64" spans="1:8" x14ac:dyDescent="0.3">
      <c r="A64" s="8">
        <v>63</v>
      </c>
      <c r="B64" s="9" t="s">
        <v>157</v>
      </c>
      <c r="C64" s="10" t="s">
        <v>376</v>
      </c>
      <c r="D64" s="30">
        <v>2083</v>
      </c>
      <c r="E64" s="12" t="s">
        <v>11</v>
      </c>
      <c r="F64" s="12" t="s">
        <v>12</v>
      </c>
      <c r="G64" s="9" t="s">
        <v>13</v>
      </c>
      <c r="H64" s="20">
        <v>3</v>
      </c>
    </row>
    <row r="65" spans="1:19" x14ac:dyDescent="0.3">
      <c r="A65" s="8">
        <v>64</v>
      </c>
      <c r="B65" s="9" t="s">
        <v>157</v>
      </c>
      <c r="C65" s="10" t="s">
        <v>377</v>
      </c>
      <c r="D65" s="30">
        <v>4020</v>
      </c>
      <c r="E65" s="12" t="s">
        <v>11</v>
      </c>
      <c r="F65" s="12" t="s">
        <v>12</v>
      </c>
      <c r="G65" s="9" t="s">
        <v>13</v>
      </c>
      <c r="H65" s="12">
        <v>2</v>
      </c>
    </row>
    <row r="66" spans="1:19" x14ac:dyDescent="0.3">
      <c r="A66" s="8">
        <v>65</v>
      </c>
      <c r="B66" s="9" t="s">
        <v>157</v>
      </c>
      <c r="C66" s="10" t="s">
        <v>378</v>
      </c>
      <c r="D66" s="30">
        <v>6061</v>
      </c>
      <c r="E66" s="12" t="s">
        <v>11</v>
      </c>
      <c r="F66" s="12" t="s">
        <v>12</v>
      </c>
      <c r="G66" s="9" t="s">
        <v>13</v>
      </c>
      <c r="H66" s="12">
        <v>2</v>
      </c>
    </row>
    <row r="67" spans="1:19" ht="15" thickBot="1" x14ac:dyDescent="0.35">
      <c r="A67" s="8">
        <v>66</v>
      </c>
      <c r="B67" s="9" t="s">
        <v>157</v>
      </c>
      <c r="C67" s="10" t="s">
        <v>379</v>
      </c>
      <c r="D67" s="30">
        <v>7057</v>
      </c>
      <c r="E67" s="12" t="s">
        <v>4</v>
      </c>
      <c r="F67" s="13" t="s">
        <v>16</v>
      </c>
      <c r="G67" s="9" t="s">
        <v>13</v>
      </c>
      <c r="H67" s="15">
        <v>3</v>
      </c>
    </row>
    <row r="68" spans="1:19" ht="15" thickBot="1" x14ac:dyDescent="0.35">
      <c r="A68" s="8">
        <v>67</v>
      </c>
      <c r="B68" s="9" t="s">
        <v>157</v>
      </c>
      <c r="C68" s="10" t="s">
        <v>380</v>
      </c>
      <c r="D68" s="30">
        <v>7060</v>
      </c>
      <c r="E68" s="12" t="s">
        <v>4</v>
      </c>
      <c r="F68" s="13" t="s">
        <v>16</v>
      </c>
      <c r="G68" s="9" t="s">
        <v>13</v>
      </c>
      <c r="H68" s="15">
        <v>3</v>
      </c>
      <c r="I68" s="74">
        <f>+I70+H74+H80+H83+H84+H85</f>
        <v>265</v>
      </c>
      <c r="J68" s="176" t="s">
        <v>381</v>
      </c>
      <c r="K68" s="177"/>
      <c r="L68" s="177"/>
      <c r="M68" s="177"/>
      <c r="N68" s="177"/>
      <c r="O68" s="177"/>
      <c r="P68" s="177"/>
      <c r="Q68" s="177"/>
      <c r="R68" s="177"/>
      <c r="S68" s="177"/>
    </row>
    <row r="69" spans="1:19" ht="15" thickBot="1" x14ac:dyDescent="0.35">
      <c r="A69" s="8">
        <v>68</v>
      </c>
      <c r="B69" s="9" t="s">
        <v>157</v>
      </c>
      <c r="C69" s="10" t="s">
        <v>382</v>
      </c>
      <c r="D69" s="30">
        <v>9081</v>
      </c>
      <c r="E69" s="12" t="s">
        <v>11</v>
      </c>
      <c r="F69" s="13" t="s">
        <v>12</v>
      </c>
      <c r="G69" s="9" t="s">
        <v>13</v>
      </c>
      <c r="H69" s="15">
        <v>4</v>
      </c>
    </row>
    <row r="70" spans="1:19" x14ac:dyDescent="0.3">
      <c r="A70" s="8">
        <v>69</v>
      </c>
      <c r="B70" s="9" t="s">
        <v>157</v>
      </c>
      <c r="C70" s="10" t="s">
        <v>383</v>
      </c>
      <c r="D70" s="30">
        <v>10099</v>
      </c>
      <c r="E70" s="12" t="s">
        <v>11</v>
      </c>
      <c r="F70" s="13" t="s">
        <v>12</v>
      </c>
      <c r="G70" s="9" t="s">
        <v>13</v>
      </c>
      <c r="H70" s="15">
        <v>3</v>
      </c>
      <c r="I70" s="75">
        <f>SUM(H2:H70)</f>
        <v>245</v>
      </c>
      <c r="J70" s="178" t="s">
        <v>175</v>
      </c>
      <c r="K70" s="179"/>
      <c r="L70" s="179"/>
      <c r="M70" s="179"/>
      <c r="N70" s="179"/>
      <c r="O70" s="179"/>
    </row>
    <row r="71" spans="1:19" ht="39.6" x14ac:dyDescent="0.3">
      <c r="A71" s="76">
        <v>70</v>
      </c>
      <c r="B71" s="77" t="s">
        <v>8</v>
      </c>
      <c r="C71" s="78" t="s">
        <v>384</v>
      </c>
      <c r="D71" s="79" t="s">
        <v>385</v>
      </c>
      <c r="E71" s="80" t="s">
        <v>4</v>
      </c>
      <c r="F71" s="81" t="s">
        <v>16</v>
      </c>
      <c r="G71" s="77" t="s">
        <v>178</v>
      </c>
      <c r="H71" s="80">
        <v>3</v>
      </c>
      <c r="I71" s="53" t="s">
        <v>386</v>
      </c>
      <c r="J71" s="35" t="s">
        <v>179</v>
      </c>
      <c r="K71" s="56" t="s">
        <v>251</v>
      </c>
    </row>
    <row r="72" spans="1:19" ht="39.6" x14ac:dyDescent="0.3">
      <c r="A72" s="76">
        <v>71</v>
      </c>
      <c r="B72" s="77" t="s">
        <v>8</v>
      </c>
      <c r="C72" s="78" t="s">
        <v>387</v>
      </c>
      <c r="D72" s="79" t="s">
        <v>388</v>
      </c>
      <c r="E72" s="81" t="s">
        <v>11</v>
      </c>
      <c r="F72" s="80" t="s">
        <v>12</v>
      </c>
      <c r="G72" s="77" t="s">
        <v>178</v>
      </c>
      <c r="H72" s="80">
        <v>3</v>
      </c>
      <c r="I72" s="53" t="s">
        <v>389</v>
      </c>
      <c r="J72" s="35" t="s">
        <v>179</v>
      </c>
      <c r="K72" s="56" t="s">
        <v>251</v>
      </c>
    </row>
    <row r="73" spans="1:19" ht="52.8" x14ac:dyDescent="0.3">
      <c r="A73" s="76">
        <v>72</v>
      </c>
      <c r="B73" s="77" t="s">
        <v>8</v>
      </c>
      <c r="C73" s="78" t="s">
        <v>390</v>
      </c>
      <c r="D73" s="79" t="s">
        <v>391</v>
      </c>
      <c r="E73" s="80" t="s">
        <v>4</v>
      </c>
      <c r="F73" s="80" t="s">
        <v>16</v>
      </c>
      <c r="G73" s="77" t="s">
        <v>178</v>
      </c>
      <c r="H73" s="80">
        <v>4</v>
      </c>
      <c r="I73" s="53" t="s">
        <v>392</v>
      </c>
      <c r="J73" s="35" t="s">
        <v>179</v>
      </c>
      <c r="K73" s="56" t="s">
        <v>251</v>
      </c>
    </row>
    <row r="74" spans="1:19" ht="79.2" x14ac:dyDescent="0.3">
      <c r="A74" s="76">
        <v>73</v>
      </c>
      <c r="B74" s="77" t="s">
        <v>8</v>
      </c>
      <c r="C74" s="78" t="s">
        <v>393</v>
      </c>
      <c r="D74" s="79" t="s">
        <v>394</v>
      </c>
      <c r="E74" s="80" t="s">
        <v>4</v>
      </c>
      <c r="F74" s="80" t="s">
        <v>16</v>
      </c>
      <c r="G74" s="77" t="s">
        <v>178</v>
      </c>
      <c r="H74" s="80">
        <v>4</v>
      </c>
      <c r="I74" s="53" t="s">
        <v>395</v>
      </c>
      <c r="J74" s="82" t="s">
        <v>396</v>
      </c>
      <c r="K74" s="56" t="s">
        <v>251</v>
      </c>
    </row>
    <row r="75" spans="1:19" ht="53.4" x14ac:dyDescent="0.3">
      <c r="A75" s="76">
        <v>74</v>
      </c>
      <c r="B75" s="77" t="s">
        <v>8</v>
      </c>
      <c r="C75" s="78" t="s">
        <v>397</v>
      </c>
      <c r="D75" s="79" t="s">
        <v>398</v>
      </c>
      <c r="E75" s="80" t="s">
        <v>11</v>
      </c>
      <c r="F75" s="80" t="s">
        <v>12</v>
      </c>
      <c r="G75" s="77" t="s">
        <v>178</v>
      </c>
      <c r="H75" s="80">
        <v>4</v>
      </c>
      <c r="I75" s="83" t="s">
        <v>399</v>
      </c>
      <c r="J75" s="84" t="s">
        <v>184</v>
      </c>
      <c r="K75" s="60" t="s">
        <v>251</v>
      </c>
    </row>
    <row r="76" spans="1:19" ht="53.4" x14ac:dyDescent="0.3">
      <c r="A76" s="76">
        <v>75</v>
      </c>
      <c r="B76" s="77" t="s">
        <v>8</v>
      </c>
      <c r="C76" s="78" t="s">
        <v>400</v>
      </c>
      <c r="D76" s="79" t="s">
        <v>401</v>
      </c>
      <c r="E76" s="80" t="s">
        <v>11</v>
      </c>
      <c r="F76" s="80" t="s">
        <v>12</v>
      </c>
      <c r="G76" s="77" t="s">
        <v>178</v>
      </c>
      <c r="H76" s="80">
        <v>3</v>
      </c>
      <c r="I76" s="83" t="s">
        <v>402</v>
      </c>
      <c r="J76" s="35" t="s">
        <v>179</v>
      </c>
      <c r="K76" s="56" t="s">
        <v>251</v>
      </c>
    </row>
    <row r="77" spans="1:19" ht="79.2" x14ac:dyDescent="0.3">
      <c r="A77" s="76">
        <v>76</v>
      </c>
      <c r="B77" s="77" t="s">
        <v>8</v>
      </c>
      <c r="C77" s="78" t="s">
        <v>403</v>
      </c>
      <c r="D77" s="79" t="s">
        <v>404</v>
      </c>
      <c r="E77" s="80" t="s">
        <v>4</v>
      </c>
      <c r="F77" s="80" t="s">
        <v>16</v>
      </c>
      <c r="G77" s="77" t="s">
        <v>178</v>
      </c>
      <c r="H77" s="80">
        <v>4</v>
      </c>
      <c r="I77" s="53" t="s">
        <v>405</v>
      </c>
      <c r="J77" s="35" t="s">
        <v>179</v>
      </c>
      <c r="K77" s="56" t="s">
        <v>251</v>
      </c>
    </row>
    <row r="78" spans="1:19" ht="28.8" x14ac:dyDescent="0.3">
      <c r="A78" s="76">
        <v>77</v>
      </c>
      <c r="B78" s="77" t="s">
        <v>8</v>
      </c>
      <c r="C78" s="78" t="s">
        <v>406</v>
      </c>
      <c r="D78" s="79" t="s">
        <v>407</v>
      </c>
      <c r="E78" s="80" t="s">
        <v>4</v>
      </c>
      <c r="F78" s="80" t="s">
        <v>16</v>
      </c>
      <c r="G78" s="77" t="s">
        <v>178</v>
      </c>
      <c r="H78" s="80">
        <v>5</v>
      </c>
      <c r="I78" s="54" t="s">
        <v>408</v>
      </c>
      <c r="J78" s="84" t="s">
        <v>184</v>
      </c>
      <c r="K78" s="60" t="s">
        <v>251</v>
      </c>
    </row>
    <row r="79" spans="1:19" ht="52.8" x14ac:dyDescent="0.3">
      <c r="A79" s="76">
        <v>78</v>
      </c>
      <c r="B79" s="77" t="s">
        <v>8</v>
      </c>
      <c r="C79" s="78" t="s">
        <v>409</v>
      </c>
      <c r="D79" s="79" t="s">
        <v>410</v>
      </c>
      <c r="E79" s="80" t="s">
        <v>4</v>
      </c>
      <c r="F79" s="80" t="s">
        <v>16</v>
      </c>
      <c r="G79" s="77" t="s">
        <v>178</v>
      </c>
      <c r="H79" s="80">
        <v>3</v>
      </c>
      <c r="I79" s="53" t="s">
        <v>411</v>
      </c>
      <c r="J79" s="84" t="s">
        <v>184</v>
      </c>
      <c r="K79" s="60" t="s">
        <v>251</v>
      </c>
    </row>
    <row r="80" spans="1:19" ht="105.6" x14ac:dyDescent="0.3">
      <c r="A80" s="76">
        <v>79</v>
      </c>
      <c r="B80" s="77" t="s">
        <v>8</v>
      </c>
      <c r="C80" s="78" t="s">
        <v>412</v>
      </c>
      <c r="D80" s="79" t="s">
        <v>413</v>
      </c>
      <c r="E80" s="80" t="s">
        <v>4</v>
      </c>
      <c r="F80" s="80" t="s">
        <v>16</v>
      </c>
      <c r="G80" s="77" t="s">
        <v>178</v>
      </c>
      <c r="H80" s="80">
        <v>4</v>
      </c>
      <c r="I80" s="53" t="s">
        <v>414</v>
      </c>
      <c r="J80" s="82" t="s">
        <v>396</v>
      </c>
      <c r="K80" s="56" t="s">
        <v>251</v>
      </c>
    </row>
    <row r="81" spans="1:11" ht="118.8" x14ac:dyDescent="0.3">
      <c r="A81" s="76">
        <v>80</v>
      </c>
      <c r="B81" s="77" t="s">
        <v>8</v>
      </c>
      <c r="C81" s="78" t="s">
        <v>415</v>
      </c>
      <c r="D81" s="79" t="s">
        <v>416</v>
      </c>
      <c r="E81" s="80" t="s">
        <v>4</v>
      </c>
      <c r="F81" s="80" t="s">
        <v>16</v>
      </c>
      <c r="G81" s="77" t="s">
        <v>178</v>
      </c>
      <c r="H81" s="80">
        <v>4</v>
      </c>
      <c r="I81" s="53" t="s">
        <v>417</v>
      </c>
      <c r="J81" s="35" t="s">
        <v>184</v>
      </c>
      <c r="K81" s="56" t="s">
        <v>251</v>
      </c>
    </row>
    <row r="82" spans="1:11" ht="92.4" x14ac:dyDescent="0.3">
      <c r="A82" s="76">
        <v>81</v>
      </c>
      <c r="B82" s="77" t="s">
        <v>8</v>
      </c>
      <c r="C82" s="78" t="s">
        <v>418</v>
      </c>
      <c r="D82" s="79" t="s">
        <v>419</v>
      </c>
      <c r="E82" s="80" t="s">
        <v>4</v>
      </c>
      <c r="F82" s="80" t="s">
        <v>16</v>
      </c>
      <c r="G82" s="77" t="s">
        <v>178</v>
      </c>
      <c r="H82" s="80">
        <v>4</v>
      </c>
      <c r="I82" s="53" t="s">
        <v>420</v>
      </c>
      <c r="J82" s="35" t="s">
        <v>184</v>
      </c>
      <c r="K82" s="56" t="s">
        <v>251</v>
      </c>
    </row>
    <row r="83" spans="1:11" ht="118.8" x14ac:dyDescent="0.3">
      <c r="A83" s="76">
        <v>82</v>
      </c>
      <c r="B83" s="77" t="s">
        <v>8</v>
      </c>
      <c r="C83" s="78" t="s">
        <v>421</v>
      </c>
      <c r="D83" s="79" t="s">
        <v>422</v>
      </c>
      <c r="E83" s="80" t="s">
        <v>11</v>
      </c>
      <c r="F83" s="80" t="s">
        <v>12</v>
      </c>
      <c r="G83" s="77" t="s">
        <v>178</v>
      </c>
      <c r="H83" s="80">
        <v>4</v>
      </c>
      <c r="I83" s="53" t="s">
        <v>423</v>
      </c>
      <c r="J83" s="82" t="s">
        <v>396</v>
      </c>
      <c r="K83" s="56" t="s">
        <v>251</v>
      </c>
    </row>
    <row r="84" spans="1:11" ht="39.6" x14ac:dyDescent="0.3">
      <c r="A84" s="76">
        <v>83</v>
      </c>
      <c r="B84" s="77" t="s">
        <v>8</v>
      </c>
      <c r="C84" s="78" t="s">
        <v>424</v>
      </c>
      <c r="D84" s="79" t="s">
        <v>425</v>
      </c>
      <c r="E84" s="80" t="s">
        <v>4</v>
      </c>
      <c r="F84" s="80" t="s">
        <v>16</v>
      </c>
      <c r="G84" s="77" t="s">
        <v>178</v>
      </c>
      <c r="H84" s="80">
        <v>4</v>
      </c>
      <c r="I84" s="54" t="s">
        <v>426</v>
      </c>
      <c r="J84" s="82" t="s">
        <v>396</v>
      </c>
      <c r="K84" s="56" t="s">
        <v>251</v>
      </c>
    </row>
    <row r="85" spans="1:11" ht="105.6" x14ac:dyDescent="0.3">
      <c r="A85" s="76">
        <v>84</v>
      </c>
      <c r="B85" s="77" t="s">
        <v>8</v>
      </c>
      <c r="C85" s="78" t="s">
        <v>427</v>
      </c>
      <c r="D85" s="79" t="s">
        <v>428</v>
      </c>
      <c r="E85" s="80" t="s">
        <v>4</v>
      </c>
      <c r="F85" s="80" t="s">
        <v>16</v>
      </c>
      <c r="G85" s="77" t="s">
        <v>178</v>
      </c>
      <c r="H85" s="80">
        <v>4</v>
      </c>
      <c r="I85" s="53" t="s">
        <v>429</v>
      </c>
      <c r="J85" s="82" t="s">
        <v>396</v>
      </c>
      <c r="K85" s="56" t="s">
        <v>251</v>
      </c>
    </row>
    <row r="86" spans="1:11" ht="39.6" x14ac:dyDescent="0.3">
      <c r="A86" s="76">
        <v>85</v>
      </c>
      <c r="B86" s="77" t="s">
        <v>8</v>
      </c>
      <c r="C86" s="78" t="s">
        <v>430</v>
      </c>
      <c r="D86" s="85" t="s">
        <v>431</v>
      </c>
      <c r="E86" s="80" t="s">
        <v>11</v>
      </c>
      <c r="F86" s="80" t="s">
        <v>12</v>
      </c>
      <c r="G86" s="77" t="s">
        <v>178</v>
      </c>
      <c r="H86" s="80">
        <v>3</v>
      </c>
      <c r="I86" s="53" t="s">
        <v>432</v>
      </c>
      <c r="J86" s="84" t="s">
        <v>184</v>
      </c>
      <c r="K86" s="56" t="s">
        <v>251</v>
      </c>
    </row>
    <row r="87" spans="1:11" ht="105.6" x14ac:dyDescent="0.3">
      <c r="A87" s="76">
        <v>86</v>
      </c>
      <c r="B87" s="77" t="s">
        <v>157</v>
      </c>
      <c r="C87" s="86" t="s">
        <v>433</v>
      </c>
      <c r="D87" s="87" t="s">
        <v>434</v>
      </c>
      <c r="E87" s="88" t="s">
        <v>11</v>
      </c>
      <c r="F87" s="88" t="s">
        <v>12</v>
      </c>
      <c r="G87" s="77" t="s">
        <v>178</v>
      </c>
      <c r="H87" s="80">
        <v>4</v>
      </c>
      <c r="I87" s="53" t="s">
        <v>435</v>
      </c>
      <c r="J87" s="84" t="s">
        <v>184</v>
      </c>
      <c r="K87" s="56" t="s">
        <v>251</v>
      </c>
    </row>
    <row r="88" spans="1:11" ht="105.6" x14ac:dyDescent="0.3">
      <c r="A88" s="76">
        <v>87</v>
      </c>
      <c r="B88" s="77" t="s">
        <v>157</v>
      </c>
      <c r="C88" s="86" t="s">
        <v>436</v>
      </c>
      <c r="D88" s="87">
        <v>1117</v>
      </c>
      <c r="E88" s="88" t="s">
        <v>4</v>
      </c>
      <c r="F88" s="88" t="s">
        <v>16</v>
      </c>
      <c r="G88" s="77" t="s">
        <v>178</v>
      </c>
      <c r="H88" s="80">
        <v>3</v>
      </c>
      <c r="I88" s="53" t="s">
        <v>437</v>
      </c>
      <c r="J88" s="35" t="s">
        <v>184</v>
      </c>
      <c r="K88" s="60" t="s">
        <v>251</v>
      </c>
    </row>
    <row r="89" spans="1:11" ht="118.8" x14ac:dyDescent="0.3">
      <c r="A89" s="76">
        <v>88</v>
      </c>
      <c r="B89" s="77" t="s">
        <v>157</v>
      </c>
      <c r="C89" s="86" t="s">
        <v>438</v>
      </c>
      <c r="D89" s="87">
        <v>9004</v>
      </c>
      <c r="E89" s="88" t="s">
        <v>4</v>
      </c>
      <c r="F89" s="88" t="s">
        <v>16</v>
      </c>
      <c r="G89" s="77" t="s">
        <v>178</v>
      </c>
      <c r="H89" s="80">
        <v>4</v>
      </c>
      <c r="I89" s="53" t="s">
        <v>439</v>
      </c>
      <c r="J89" s="35" t="s">
        <v>184</v>
      </c>
      <c r="K89" s="60" t="s">
        <v>251</v>
      </c>
    </row>
    <row r="90" spans="1:11" ht="28.8" x14ac:dyDescent="0.3">
      <c r="A90" s="76">
        <v>89</v>
      </c>
      <c r="B90" s="77" t="s">
        <v>157</v>
      </c>
      <c r="C90" s="86" t="s">
        <v>440</v>
      </c>
      <c r="D90" s="87">
        <v>6008</v>
      </c>
      <c r="E90" s="88" t="s">
        <v>4</v>
      </c>
      <c r="F90" s="88" t="s">
        <v>16</v>
      </c>
      <c r="G90" s="77" t="s">
        <v>178</v>
      </c>
      <c r="H90" s="80">
        <v>6</v>
      </c>
      <c r="I90" s="83" t="s">
        <v>441</v>
      </c>
      <c r="J90" s="35" t="s">
        <v>184</v>
      </c>
      <c r="K90" s="60" t="s">
        <v>251</v>
      </c>
    </row>
    <row r="91" spans="1:11" ht="40.200000000000003" x14ac:dyDescent="0.3">
      <c r="A91" s="76">
        <v>90</v>
      </c>
      <c r="B91" s="77" t="s">
        <v>157</v>
      </c>
      <c r="C91" s="86" t="s">
        <v>442</v>
      </c>
      <c r="D91" s="87">
        <v>6019</v>
      </c>
      <c r="E91" s="88" t="s">
        <v>4</v>
      </c>
      <c r="F91" s="88" t="s">
        <v>16</v>
      </c>
      <c r="G91" s="77" t="s">
        <v>178</v>
      </c>
      <c r="H91" s="80">
        <v>3</v>
      </c>
      <c r="I91" s="83" t="s">
        <v>443</v>
      </c>
      <c r="J91" s="84" t="s">
        <v>184</v>
      </c>
      <c r="K91" s="56" t="s">
        <v>251</v>
      </c>
    </row>
    <row r="92" spans="1:11" ht="40.200000000000003" x14ac:dyDescent="0.3">
      <c r="A92" s="76">
        <v>91</v>
      </c>
      <c r="B92" s="77" t="s">
        <v>8</v>
      </c>
      <c r="C92" s="86" t="s">
        <v>444</v>
      </c>
      <c r="D92" s="87" t="s">
        <v>445</v>
      </c>
      <c r="E92" s="88" t="s">
        <v>4</v>
      </c>
      <c r="F92" s="88" t="s">
        <v>16</v>
      </c>
      <c r="G92" s="77" t="s">
        <v>178</v>
      </c>
      <c r="H92" s="80">
        <v>4</v>
      </c>
      <c r="I92" s="83" t="s">
        <v>446</v>
      </c>
      <c r="J92" s="84" t="s">
        <v>184</v>
      </c>
      <c r="K92" s="56" t="s">
        <v>251</v>
      </c>
    </row>
    <row r="93" spans="1:11" ht="40.200000000000003" x14ac:dyDescent="0.3">
      <c r="A93" s="76">
        <v>92</v>
      </c>
      <c r="B93" s="77" t="s">
        <v>8</v>
      </c>
      <c r="C93" s="86" t="s">
        <v>447</v>
      </c>
      <c r="D93" s="87" t="s">
        <v>448</v>
      </c>
      <c r="E93" s="88" t="s">
        <v>4</v>
      </c>
      <c r="F93" s="88" t="s">
        <v>16</v>
      </c>
      <c r="G93" s="77" t="s">
        <v>178</v>
      </c>
      <c r="H93" s="80">
        <v>4</v>
      </c>
      <c r="I93" s="83" t="s">
        <v>449</v>
      </c>
      <c r="J93" s="84" t="s">
        <v>184</v>
      </c>
      <c r="K93" s="56" t="s">
        <v>251</v>
      </c>
    </row>
    <row r="94" spans="1:11" ht="40.200000000000003" x14ac:dyDescent="0.3">
      <c r="A94" s="76">
        <v>93</v>
      </c>
      <c r="B94" s="77" t="s">
        <v>8</v>
      </c>
      <c r="C94" s="86" t="s">
        <v>450</v>
      </c>
      <c r="D94" s="87" t="s">
        <v>451</v>
      </c>
      <c r="E94" s="88" t="s">
        <v>11</v>
      </c>
      <c r="F94" s="88" t="s">
        <v>12</v>
      </c>
      <c r="G94" s="77" t="s">
        <v>178</v>
      </c>
      <c r="H94" s="80">
        <v>3</v>
      </c>
      <c r="I94" s="83" t="s">
        <v>452</v>
      </c>
      <c r="J94" s="35" t="s">
        <v>179</v>
      </c>
      <c r="K94" s="56" t="s">
        <v>251</v>
      </c>
    </row>
    <row r="95" spans="1:11" ht="28.8" x14ac:dyDescent="0.3">
      <c r="A95" s="76">
        <v>94</v>
      </c>
      <c r="B95" s="77" t="s">
        <v>8</v>
      </c>
      <c r="C95" s="86" t="s">
        <v>453</v>
      </c>
      <c r="D95" s="87" t="s">
        <v>454</v>
      </c>
      <c r="E95" s="88" t="s">
        <v>11</v>
      </c>
      <c r="F95" s="88" t="s">
        <v>12</v>
      </c>
      <c r="G95" s="77" t="s">
        <v>178</v>
      </c>
      <c r="H95" s="80">
        <v>2</v>
      </c>
      <c r="I95" s="83" t="s">
        <v>455</v>
      </c>
      <c r="J95" s="35" t="s">
        <v>179</v>
      </c>
      <c r="K95" s="56" t="s">
        <v>251</v>
      </c>
    </row>
    <row r="96" spans="1:11" ht="28.8" x14ac:dyDescent="0.3">
      <c r="A96" s="76">
        <v>95</v>
      </c>
      <c r="B96" s="77" t="s">
        <v>8</v>
      </c>
      <c r="C96" s="86" t="s">
        <v>456</v>
      </c>
      <c r="D96" s="87" t="s">
        <v>457</v>
      </c>
      <c r="E96" s="88" t="s">
        <v>11</v>
      </c>
      <c r="F96" s="88" t="s">
        <v>12</v>
      </c>
      <c r="G96" s="77" t="s">
        <v>178</v>
      </c>
      <c r="H96" s="80">
        <v>3</v>
      </c>
      <c r="I96" s="83" t="s">
        <v>458</v>
      </c>
      <c r="J96" s="35" t="s">
        <v>179</v>
      </c>
      <c r="K96" s="56" t="s">
        <v>251</v>
      </c>
    </row>
    <row r="97" spans="1:11" ht="66.599999999999994" x14ac:dyDescent="0.3">
      <c r="A97" s="76">
        <v>96</v>
      </c>
      <c r="B97" s="77" t="s">
        <v>157</v>
      </c>
      <c r="C97" s="86" t="s">
        <v>459</v>
      </c>
      <c r="D97" s="87">
        <v>2016</v>
      </c>
      <c r="E97" s="88" t="s">
        <v>4</v>
      </c>
      <c r="F97" s="88" t="s">
        <v>16</v>
      </c>
      <c r="G97" s="77" t="s">
        <v>178</v>
      </c>
      <c r="H97" s="80">
        <v>4</v>
      </c>
      <c r="I97" s="83" t="s">
        <v>460</v>
      </c>
      <c r="J97" s="84" t="s">
        <v>184</v>
      </c>
      <c r="K97" s="56" t="s">
        <v>251</v>
      </c>
    </row>
    <row r="98" spans="1:11" ht="28.8" x14ac:dyDescent="0.3">
      <c r="A98" s="76">
        <v>97</v>
      </c>
      <c r="B98" s="77" t="s">
        <v>157</v>
      </c>
      <c r="C98" s="86" t="s">
        <v>461</v>
      </c>
      <c r="D98" s="87">
        <v>2074</v>
      </c>
      <c r="E98" s="88" t="s">
        <v>4</v>
      </c>
      <c r="F98" s="88" t="s">
        <v>16</v>
      </c>
      <c r="G98" s="77" t="s">
        <v>178</v>
      </c>
      <c r="H98" s="80">
        <v>3</v>
      </c>
      <c r="I98" s="83" t="s">
        <v>462</v>
      </c>
      <c r="J98" s="35" t="s">
        <v>184</v>
      </c>
      <c r="K98" s="56" t="s">
        <v>251</v>
      </c>
    </row>
    <row r="99" spans="1:11" ht="15" thickBot="1" x14ac:dyDescent="0.35">
      <c r="A99" s="89"/>
      <c r="B99" s="90"/>
      <c r="C99" s="91"/>
      <c r="D99" s="92"/>
      <c r="E99" s="93"/>
      <c r="F99" s="93"/>
      <c r="G99" s="90"/>
      <c r="H99" s="94"/>
      <c r="I99" s="95"/>
      <c r="J99" s="35"/>
    </row>
    <row r="100" spans="1:11" ht="15" thickBot="1" x14ac:dyDescent="0.35">
      <c r="H100" s="39">
        <f>SUM(H2:H99)</f>
        <v>348</v>
      </c>
    </row>
    <row r="102" spans="1:11" x14ac:dyDescent="0.3">
      <c r="B102" s="47">
        <f>+COUNTIF(B2:B99,C102)</f>
        <v>72</v>
      </c>
      <c r="C102" s="48" t="s">
        <v>8</v>
      </c>
      <c r="E102" s="42" t="s">
        <v>188</v>
      </c>
      <c r="F102" s="43">
        <f>+COUNTIF(F2:F99,E102)</f>
        <v>0</v>
      </c>
      <c r="H102" s="40">
        <f>+H100-348</f>
        <v>0</v>
      </c>
      <c r="I102" s="41" t="s">
        <v>463</v>
      </c>
    </row>
    <row r="103" spans="1:11" x14ac:dyDescent="0.3">
      <c r="B103" s="47">
        <f>+COUNTIF(B2:B99,C103)</f>
        <v>25</v>
      </c>
      <c r="C103" s="48" t="s">
        <v>157</v>
      </c>
      <c r="E103" s="42" t="s">
        <v>12</v>
      </c>
      <c r="F103" s="43">
        <f>+COUNTIF(F2:F99,E103)</f>
        <v>18</v>
      </c>
      <c r="H103" s="40"/>
      <c r="I103" s="41"/>
    </row>
    <row r="104" spans="1:11" ht="15" thickBot="1" x14ac:dyDescent="0.35">
      <c r="B104" s="47"/>
      <c r="C104" s="50" t="s">
        <v>464</v>
      </c>
      <c r="E104" s="42" t="s">
        <v>51</v>
      </c>
      <c r="F104" s="43">
        <f>+COUNTIF(F2:F99,E104)</f>
        <v>20</v>
      </c>
      <c r="H104" s="40"/>
      <c r="I104" s="41"/>
    </row>
    <row r="105" spans="1:11" ht="15" thickBot="1" x14ac:dyDescent="0.35">
      <c r="B105" s="49">
        <f>SUBTOTAL(9,B101:B104)</f>
        <v>97</v>
      </c>
      <c r="C105" s="38"/>
      <c r="E105" s="42" t="s">
        <v>16</v>
      </c>
      <c r="F105" s="43">
        <f>+COUNTIF(F2:F99,E105)</f>
        <v>59</v>
      </c>
    </row>
    <row r="106" spans="1:11" ht="15" thickBot="1" x14ac:dyDescent="0.35">
      <c r="E106" s="44"/>
      <c r="F106" s="45">
        <f>SUBTOTAL(9,F102:F105)</f>
        <v>97</v>
      </c>
    </row>
  </sheetData>
  <mergeCells count="2">
    <mergeCell ref="J68:S68"/>
    <mergeCell ref="J70:O7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E712-E9CD-408B-84C7-8F9F679004A5}">
  <dimension ref="A1:U131"/>
  <sheetViews>
    <sheetView topLeftCell="A115" zoomScale="70" zoomScaleNormal="70" workbookViewId="0">
      <selection activeCell="C129" sqref="C129"/>
    </sheetView>
  </sheetViews>
  <sheetFormatPr defaultRowHeight="14.4" x14ac:dyDescent="0.3"/>
  <cols>
    <col min="1" max="1" width="6.5546875" style="36" bestFit="1" customWidth="1"/>
    <col min="2" max="2" width="11.6640625" style="37" customWidth="1"/>
    <col min="3" max="3" width="39.88671875" bestFit="1" customWidth="1"/>
    <col min="6" max="6" width="10.109375" bestFit="1" customWidth="1"/>
    <col min="7" max="7" width="8.88671875" style="38"/>
    <col min="8" max="8" width="10.21875" customWidth="1"/>
    <col min="9" max="9" width="10.44140625" customWidth="1"/>
    <col min="12" max="12" width="42.5546875" style="69" bestFit="1" customWidth="1"/>
    <col min="13" max="15" width="8.88671875" style="62"/>
    <col min="16" max="16" width="22.6640625" style="62" bestFit="1" customWidth="1"/>
    <col min="17" max="17" width="4.6640625" style="63" bestFit="1" customWidth="1"/>
    <col min="18" max="21" width="8.88671875" style="64"/>
  </cols>
  <sheetData>
    <row r="1" spans="1:12" ht="52.8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65" t="s">
        <v>252</v>
      </c>
      <c r="J1" s="6" t="s">
        <v>253</v>
      </c>
      <c r="K1" s="6" t="s">
        <v>254</v>
      </c>
      <c r="L1" s="66" t="s">
        <v>255</v>
      </c>
    </row>
    <row r="2" spans="1:12" x14ac:dyDescent="0.3">
      <c r="A2" s="8">
        <v>1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9" t="s">
        <v>13</v>
      </c>
      <c r="H2" s="12">
        <v>3</v>
      </c>
      <c r="I2" s="8" t="s">
        <v>261</v>
      </c>
      <c r="J2" s="9" t="s">
        <v>258</v>
      </c>
      <c r="K2" s="9" t="s">
        <v>258</v>
      </c>
      <c r="L2" s="10"/>
    </row>
    <row r="3" spans="1:12" x14ac:dyDescent="0.3">
      <c r="A3" s="8">
        <v>2</v>
      </c>
      <c r="B3" s="9" t="s">
        <v>8</v>
      </c>
      <c r="C3" s="10" t="s">
        <v>14</v>
      </c>
      <c r="D3" s="11" t="s">
        <v>15</v>
      </c>
      <c r="E3" s="12" t="s">
        <v>4</v>
      </c>
      <c r="F3" s="12" t="s">
        <v>16</v>
      </c>
      <c r="G3" s="9" t="s">
        <v>13</v>
      </c>
      <c r="H3" s="12">
        <v>4</v>
      </c>
      <c r="I3" s="68" t="s">
        <v>260</v>
      </c>
      <c r="J3" s="9" t="s">
        <v>258</v>
      </c>
      <c r="K3" s="9" t="s">
        <v>258</v>
      </c>
      <c r="L3" s="10"/>
    </row>
    <row r="4" spans="1:12" x14ac:dyDescent="0.3">
      <c r="A4" s="8">
        <v>3</v>
      </c>
      <c r="B4" s="9" t="s">
        <v>8</v>
      </c>
      <c r="C4" s="10" t="s">
        <v>17</v>
      </c>
      <c r="D4" s="11" t="s">
        <v>18</v>
      </c>
      <c r="E4" s="12" t="s">
        <v>4</v>
      </c>
      <c r="F4" s="12" t="s">
        <v>16</v>
      </c>
      <c r="G4" s="9" t="s">
        <v>13</v>
      </c>
      <c r="H4" s="12">
        <v>3</v>
      </c>
      <c r="I4" s="68" t="s">
        <v>260</v>
      </c>
      <c r="J4" s="9" t="s">
        <v>258</v>
      </c>
      <c r="K4" s="9" t="s">
        <v>258</v>
      </c>
      <c r="L4" s="10"/>
    </row>
    <row r="5" spans="1:12" x14ac:dyDescent="0.3">
      <c r="A5" s="8">
        <v>4</v>
      </c>
      <c r="B5" s="9" t="s">
        <v>8</v>
      </c>
      <c r="C5" s="10" t="s">
        <v>19</v>
      </c>
      <c r="D5" s="11" t="s">
        <v>20</v>
      </c>
      <c r="E5" s="12" t="s">
        <v>4</v>
      </c>
      <c r="F5" s="12" t="s">
        <v>16</v>
      </c>
      <c r="G5" s="9" t="s">
        <v>13</v>
      </c>
      <c r="H5" s="12">
        <v>4</v>
      </c>
      <c r="I5" s="68" t="s">
        <v>260</v>
      </c>
      <c r="J5" s="9" t="s">
        <v>258</v>
      </c>
      <c r="K5" s="9" t="s">
        <v>258</v>
      </c>
      <c r="L5" s="10"/>
    </row>
    <row r="6" spans="1:12" x14ac:dyDescent="0.3">
      <c r="A6" s="8">
        <v>5</v>
      </c>
      <c r="B6" s="9" t="s">
        <v>8</v>
      </c>
      <c r="C6" s="10" t="s">
        <v>21</v>
      </c>
      <c r="D6" s="11" t="s">
        <v>22</v>
      </c>
      <c r="E6" s="12" t="s">
        <v>4</v>
      </c>
      <c r="F6" s="12" t="s">
        <v>16</v>
      </c>
      <c r="G6" s="9" t="s">
        <v>13</v>
      </c>
      <c r="H6" s="12">
        <v>2</v>
      </c>
      <c r="I6" s="68" t="s">
        <v>260</v>
      </c>
      <c r="J6" s="9" t="s">
        <v>258</v>
      </c>
      <c r="K6" s="9" t="s">
        <v>258</v>
      </c>
      <c r="L6" s="10"/>
    </row>
    <row r="7" spans="1:12" x14ac:dyDescent="0.3">
      <c r="A7" s="8">
        <v>6</v>
      </c>
      <c r="B7" s="9" t="s">
        <v>8</v>
      </c>
      <c r="C7" s="10" t="s">
        <v>23</v>
      </c>
      <c r="D7" s="14" t="s">
        <v>24</v>
      </c>
      <c r="E7" s="12" t="s">
        <v>11</v>
      </c>
      <c r="F7" s="13" t="s">
        <v>12</v>
      </c>
      <c r="G7" s="9" t="s">
        <v>13</v>
      </c>
      <c r="H7" s="15">
        <v>3</v>
      </c>
      <c r="I7" s="8" t="s">
        <v>261</v>
      </c>
      <c r="J7" s="9" t="s">
        <v>258</v>
      </c>
      <c r="K7" s="9" t="s">
        <v>258</v>
      </c>
      <c r="L7" s="10"/>
    </row>
    <row r="8" spans="1:12" x14ac:dyDescent="0.3">
      <c r="A8" s="8">
        <v>7</v>
      </c>
      <c r="B8" s="9" t="s">
        <v>8</v>
      </c>
      <c r="C8" s="10" t="s">
        <v>25</v>
      </c>
      <c r="D8" s="14" t="s">
        <v>26</v>
      </c>
      <c r="E8" s="12" t="s">
        <v>11</v>
      </c>
      <c r="F8" s="13" t="s">
        <v>12</v>
      </c>
      <c r="G8" s="9" t="s">
        <v>13</v>
      </c>
      <c r="H8" s="15">
        <v>4</v>
      </c>
      <c r="I8" s="8" t="s">
        <v>261</v>
      </c>
      <c r="J8" s="9" t="s">
        <v>258</v>
      </c>
      <c r="K8" s="9" t="s">
        <v>258</v>
      </c>
      <c r="L8" s="10"/>
    </row>
    <row r="9" spans="1:12" x14ac:dyDescent="0.3">
      <c r="A9" s="8">
        <v>8</v>
      </c>
      <c r="B9" s="9" t="s">
        <v>8</v>
      </c>
      <c r="C9" s="10" t="s">
        <v>27</v>
      </c>
      <c r="D9" s="11" t="s">
        <v>28</v>
      </c>
      <c r="E9" s="12" t="s">
        <v>4</v>
      </c>
      <c r="F9" s="12" t="s">
        <v>16</v>
      </c>
      <c r="G9" s="9" t="s">
        <v>13</v>
      </c>
      <c r="H9" s="12">
        <v>3</v>
      </c>
      <c r="I9" s="68" t="s">
        <v>260</v>
      </c>
      <c r="J9" s="9" t="s">
        <v>258</v>
      </c>
      <c r="K9" s="9" t="s">
        <v>258</v>
      </c>
      <c r="L9" s="10"/>
    </row>
    <row r="10" spans="1:12" x14ac:dyDescent="0.3">
      <c r="A10" s="8">
        <v>9</v>
      </c>
      <c r="B10" s="9" t="s">
        <v>8</v>
      </c>
      <c r="C10" s="10" t="s">
        <v>29</v>
      </c>
      <c r="D10" s="11" t="s">
        <v>30</v>
      </c>
      <c r="E10" s="12" t="s">
        <v>4</v>
      </c>
      <c r="F10" s="12" t="s">
        <v>16</v>
      </c>
      <c r="G10" s="9" t="s">
        <v>13</v>
      </c>
      <c r="H10" s="12">
        <v>3</v>
      </c>
      <c r="I10" s="68" t="s">
        <v>260</v>
      </c>
      <c r="J10" s="9" t="s">
        <v>258</v>
      </c>
      <c r="K10" s="9" t="s">
        <v>258</v>
      </c>
      <c r="L10" s="10"/>
    </row>
    <row r="11" spans="1:12" x14ac:dyDescent="0.3">
      <c r="A11" s="8">
        <v>10</v>
      </c>
      <c r="B11" s="9" t="s">
        <v>8</v>
      </c>
      <c r="C11" s="10" t="s">
        <v>31</v>
      </c>
      <c r="D11" s="11" t="s">
        <v>32</v>
      </c>
      <c r="E11" s="12" t="s">
        <v>4</v>
      </c>
      <c r="F11" s="12" t="s">
        <v>16</v>
      </c>
      <c r="G11" s="9" t="s">
        <v>13</v>
      </c>
      <c r="H11" s="12">
        <v>4</v>
      </c>
      <c r="I11" s="68" t="s">
        <v>260</v>
      </c>
      <c r="J11" s="9" t="s">
        <v>258</v>
      </c>
      <c r="K11" s="9" t="s">
        <v>258</v>
      </c>
      <c r="L11" s="10"/>
    </row>
    <row r="12" spans="1:12" x14ac:dyDescent="0.3">
      <c r="A12" s="8">
        <v>11</v>
      </c>
      <c r="B12" s="9" t="s">
        <v>8</v>
      </c>
      <c r="C12" s="10" t="s">
        <v>33</v>
      </c>
      <c r="D12" s="11" t="s">
        <v>34</v>
      </c>
      <c r="E12" s="12" t="s">
        <v>4</v>
      </c>
      <c r="F12" s="12" t="s">
        <v>16</v>
      </c>
      <c r="G12" s="9" t="s">
        <v>13</v>
      </c>
      <c r="H12" s="12">
        <v>4</v>
      </c>
      <c r="I12" s="67" t="s">
        <v>256</v>
      </c>
      <c r="J12" s="9" t="s">
        <v>257</v>
      </c>
      <c r="K12" s="9" t="s">
        <v>258</v>
      </c>
      <c r="L12" s="10" t="s">
        <v>259</v>
      </c>
    </row>
    <row r="13" spans="1:12" x14ac:dyDescent="0.3">
      <c r="A13" s="8">
        <v>12</v>
      </c>
      <c r="B13" s="9" t="s">
        <v>8</v>
      </c>
      <c r="C13" s="10" t="s">
        <v>35</v>
      </c>
      <c r="D13" s="11" t="s">
        <v>36</v>
      </c>
      <c r="E13" s="12" t="s">
        <v>4</v>
      </c>
      <c r="F13" s="12" t="s">
        <v>16</v>
      </c>
      <c r="G13" s="9" t="s">
        <v>13</v>
      </c>
      <c r="H13" s="12">
        <v>4</v>
      </c>
      <c r="I13" s="67" t="s">
        <v>256</v>
      </c>
      <c r="J13" s="9" t="s">
        <v>257</v>
      </c>
      <c r="K13" s="9" t="s">
        <v>258</v>
      </c>
      <c r="L13" s="10" t="s">
        <v>259</v>
      </c>
    </row>
    <row r="14" spans="1:12" x14ac:dyDescent="0.3">
      <c r="A14" s="8">
        <v>13</v>
      </c>
      <c r="B14" s="9" t="s">
        <v>8</v>
      </c>
      <c r="C14" s="10" t="s">
        <v>37</v>
      </c>
      <c r="D14" s="11" t="s">
        <v>38</v>
      </c>
      <c r="E14" s="12" t="s">
        <v>11</v>
      </c>
      <c r="F14" s="16" t="s">
        <v>12</v>
      </c>
      <c r="G14" s="9" t="s">
        <v>13</v>
      </c>
      <c r="H14" s="12">
        <v>3</v>
      </c>
      <c r="I14" s="67" t="s">
        <v>256</v>
      </c>
      <c r="J14" s="9" t="s">
        <v>258</v>
      </c>
      <c r="K14" s="9" t="s">
        <v>258</v>
      </c>
      <c r="L14" s="10"/>
    </row>
    <row r="15" spans="1:12" x14ac:dyDescent="0.3">
      <c r="A15" s="8">
        <v>14</v>
      </c>
      <c r="B15" s="9" t="s">
        <v>8</v>
      </c>
      <c r="C15" s="10" t="s">
        <v>39</v>
      </c>
      <c r="D15" s="11" t="s">
        <v>40</v>
      </c>
      <c r="E15" s="12" t="s">
        <v>11</v>
      </c>
      <c r="F15" s="16" t="s">
        <v>12</v>
      </c>
      <c r="G15" s="9" t="s">
        <v>13</v>
      </c>
      <c r="H15" s="12">
        <v>4</v>
      </c>
      <c r="I15" s="67" t="s">
        <v>256</v>
      </c>
      <c r="J15" s="9" t="s">
        <v>258</v>
      </c>
      <c r="K15" s="9" t="s">
        <v>258</v>
      </c>
      <c r="L15" s="10"/>
    </row>
    <row r="16" spans="1:12" x14ac:dyDescent="0.3">
      <c r="A16" s="8">
        <v>15</v>
      </c>
      <c r="B16" s="9" t="s">
        <v>8</v>
      </c>
      <c r="C16" s="10" t="s">
        <v>41</v>
      </c>
      <c r="D16" s="11" t="s">
        <v>42</v>
      </c>
      <c r="E16" s="12" t="s">
        <v>4</v>
      </c>
      <c r="F16" s="12" t="s">
        <v>16</v>
      </c>
      <c r="G16" s="9" t="s">
        <v>13</v>
      </c>
      <c r="H16" s="12">
        <v>4</v>
      </c>
      <c r="I16" s="68" t="s">
        <v>260</v>
      </c>
      <c r="J16" s="9" t="s">
        <v>258</v>
      </c>
      <c r="K16" s="9" t="s">
        <v>258</v>
      </c>
      <c r="L16" s="10"/>
    </row>
    <row r="17" spans="1:12" x14ac:dyDescent="0.3">
      <c r="A17" s="8">
        <v>16</v>
      </c>
      <c r="B17" s="9" t="s">
        <v>8</v>
      </c>
      <c r="C17" s="10" t="s">
        <v>43</v>
      </c>
      <c r="D17" s="11" t="s">
        <v>44</v>
      </c>
      <c r="E17" s="12" t="s">
        <v>4</v>
      </c>
      <c r="F17" s="12" t="s">
        <v>16</v>
      </c>
      <c r="G17" s="9" t="s">
        <v>13</v>
      </c>
      <c r="H17" s="12">
        <v>3</v>
      </c>
      <c r="I17" s="68" t="s">
        <v>260</v>
      </c>
      <c r="J17" s="9" t="s">
        <v>258</v>
      </c>
      <c r="K17" s="9" t="s">
        <v>258</v>
      </c>
      <c r="L17" s="10"/>
    </row>
    <row r="18" spans="1:12" x14ac:dyDescent="0.3">
      <c r="A18" s="8">
        <v>17</v>
      </c>
      <c r="B18" s="9" t="s">
        <v>8</v>
      </c>
      <c r="C18" s="10" t="s">
        <v>45</v>
      </c>
      <c r="D18" s="11" t="s">
        <v>46</v>
      </c>
      <c r="E18" s="12" t="s">
        <v>4</v>
      </c>
      <c r="F18" s="12" t="s">
        <v>16</v>
      </c>
      <c r="G18" s="9" t="s">
        <v>13</v>
      </c>
      <c r="H18" s="12">
        <v>3</v>
      </c>
      <c r="I18" s="68" t="s">
        <v>260</v>
      </c>
      <c r="J18" s="9" t="s">
        <v>258</v>
      </c>
      <c r="K18" s="9" t="s">
        <v>258</v>
      </c>
      <c r="L18" s="10"/>
    </row>
    <row r="19" spans="1:12" x14ac:dyDescent="0.3">
      <c r="A19" s="8">
        <v>18</v>
      </c>
      <c r="B19" s="9" t="s">
        <v>8</v>
      </c>
      <c r="C19" s="10" t="s">
        <v>47</v>
      </c>
      <c r="D19" s="11" t="s">
        <v>48</v>
      </c>
      <c r="E19" s="12" t="s">
        <v>4</v>
      </c>
      <c r="F19" s="12" t="s">
        <v>16</v>
      </c>
      <c r="G19" s="9" t="s">
        <v>13</v>
      </c>
      <c r="H19" s="12">
        <v>3</v>
      </c>
      <c r="I19" s="68" t="s">
        <v>260</v>
      </c>
      <c r="J19" s="9" t="s">
        <v>258</v>
      </c>
      <c r="K19" s="9" t="s">
        <v>258</v>
      </c>
      <c r="L19" s="10"/>
    </row>
    <row r="20" spans="1:12" x14ac:dyDescent="0.3">
      <c r="A20" s="8">
        <v>19</v>
      </c>
      <c r="B20" s="9" t="s">
        <v>8</v>
      </c>
      <c r="C20" s="10" t="s">
        <v>49</v>
      </c>
      <c r="D20" s="11" t="s">
        <v>50</v>
      </c>
      <c r="E20" s="12" t="s">
        <v>4</v>
      </c>
      <c r="F20" s="12" t="s">
        <v>51</v>
      </c>
      <c r="G20" s="9" t="s">
        <v>13</v>
      </c>
      <c r="H20" s="12">
        <v>2</v>
      </c>
      <c r="I20" s="68" t="s">
        <v>260</v>
      </c>
      <c r="J20" s="9" t="s">
        <v>258</v>
      </c>
      <c r="K20" s="9" t="s">
        <v>258</v>
      </c>
      <c r="L20" s="10"/>
    </row>
    <row r="21" spans="1:12" x14ac:dyDescent="0.3">
      <c r="A21" s="8">
        <v>20</v>
      </c>
      <c r="B21" s="9" t="s">
        <v>8</v>
      </c>
      <c r="C21" s="10" t="s">
        <v>52</v>
      </c>
      <c r="D21" s="11" t="s">
        <v>53</v>
      </c>
      <c r="E21" s="12" t="s">
        <v>4</v>
      </c>
      <c r="F21" s="12" t="s">
        <v>51</v>
      </c>
      <c r="G21" s="9" t="s">
        <v>13</v>
      </c>
      <c r="H21" s="12">
        <v>4</v>
      </c>
      <c r="I21" s="68" t="s">
        <v>260</v>
      </c>
      <c r="J21" s="9" t="s">
        <v>258</v>
      </c>
      <c r="K21" s="9" t="s">
        <v>258</v>
      </c>
      <c r="L21" s="10"/>
    </row>
    <row r="22" spans="1:12" x14ac:dyDescent="0.3">
      <c r="A22" s="8">
        <v>21</v>
      </c>
      <c r="B22" s="9" t="s">
        <v>8</v>
      </c>
      <c r="C22" s="10" t="s">
        <v>54</v>
      </c>
      <c r="D22" s="11" t="s">
        <v>55</v>
      </c>
      <c r="E22" s="12" t="s">
        <v>4</v>
      </c>
      <c r="F22" s="12" t="s">
        <v>51</v>
      </c>
      <c r="G22" s="9" t="s">
        <v>13</v>
      </c>
      <c r="H22" s="12">
        <v>4</v>
      </c>
      <c r="I22" s="68" t="s">
        <v>260</v>
      </c>
      <c r="J22" s="9" t="s">
        <v>258</v>
      </c>
      <c r="K22" s="9" t="s">
        <v>258</v>
      </c>
      <c r="L22" s="10"/>
    </row>
    <row r="23" spans="1:12" x14ac:dyDescent="0.3">
      <c r="A23" s="8">
        <v>22</v>
      </c>
      <c r="B23" s="9" t="s">
        <v>8</v>
      </c>
      <c r="C23" s="10" t="s">
        <v>56</v>
      </c>
      <c r="D23" s="11" t="s">
        <v>57</v>
      </c>
      <c r="E23" s="12" t="s">
        <v>4</v>
      </c>
      <c r="F23" s="12" t="s">
        <v>51</v>
      </c>
      <c r="G23" s="9" t="s">
        <v>13</v>
      </c>
      <c r="H23" s="12">
        <v>2</v>
      </c>
      <c r="I23" s="8" t="s">
        <v>261</v>
      </c>
      <c r="J23" s="9" t="s">
        <v>258</v>
      </c>
      <c r="K23" s="9" t="s">
        <v>258</v>
      </c>
      <c r="L23" s="10"/>
    </row>
    <row r="24" spans="1:12" x14ac:dyDescent="0.3">
      <c r="A24" s="8">
        <v>23</v>
      </c>
      <c r="B24" s="9" t="s">
        <v>8</v>
      </c>
      <c r="C24" s="10" t="s">
        <v>58</v>
      </c>
      <c r="D24" s="11" t="s">
        <v>59</v>
      </c>
      <c r="E24" s="12" t="s">
        <v>4</v>
      </c>
      <c r="F24" s="12" t="s">
        <v>51</v>
      </c>
      <c r="G24" s="9" t="s">
        <v>13</v>
      </c>
      <c r="H24" s="12">
        <v>4</v>
      </c>
      <c r="I24" s="8" t="s">
        <v>261</v>
      </c>
      <c r="J24" s="9" t="s">
        <v>258</v>
      </c>
      <c r="K24" s="9" t="s">
        <v>258</v>
      </c>
      <c r="L24" s="10"/>
    </row>
    <row r="25" spans="1:12" x14ac:dyDescent="0.3">
      <c r="A25" s="8">
        <v>24</v>
      </c>
      <c r="B25" s="9" t="s">
        <v>8</v>
      </c>
      <c r="C25" s="10" t="s">
        <v>60</v>
      </c>
      <c r="D25" s="11" t="s">
        <v>61</v>
      </c>
      <c r="E25" s="12" t="s">
        <v>4</v>
      </c>
      <c r="F25" s="12" t="s">
        <v>51</v>
      </c>
      <c r="G25" s="9" t="s">
        <v>13</v>
      </c>
      <c r="H25" s="12">
        <v>3</v>
      </c>
      <c r="I25" s="8" t="s">
        <v>261</v>
      </c>
      <c r="J25" s="9" t="s">
        <v>258</v>
      </c>
      <c r="K25" s="9" t="s">
        <v>258</v>
      </c>
      <c r="L25" s="10"/>
    </row>
    <row r="26" spans="1:12" x14ac:dyDescent="0.3">
      <c r="A26" s="8">
        <v>25</v>
      </c>
      <c r="B26" s="9" t="s">
        <v>8</v>
      </c>
      <c r="C26" s="10" t="s">
        <v>62</v>
      </c>
      <c r="D26" s="11" t="s">
        <v>63</v>
      </c>
      <c r="E26" s="12" t="s">
        <v>4</v>
      </c>
      <c r="F26" s="12" t="s">
        <v>51</v>
      </c>
      <c r="G26" s="9" t="s">
        <v>13</v>
      </c>
      <c r="H26" s="12">
        <v>5</v>
      </c>
      <c r="I26" s="8" t="s">
        <v>261</v>
      </c>
      <c r="J26" s="9" t="s">
        <v>258</v>
      </c>
      <c r="K26" s="9" t="s">
        <v>258</v>
      </c>
      <c r="L26" s="10"/>
    </row>
    <row r="27" spans="1:12" x14ac:dyDescent="0.3">
      <c r="A27" s="8">
        <v>26</v>
      </c>
      <c r="B27" s="9" t="s">
        <v>8</v>
      </c>
      <c r="C27" s="10" t="s">
        <v>64</v>
      </c>
      <c r="D27" s="11" t="s">
        <v>65</v>
      </c>
      <c r="E27" s="12" t="s">
        <v>4</v>
      </c>
      <c r="F27" s="12" t="s">
        <v>51</v>
      </c>
      <c r="G27" s="9" t="s">
        <v>13</v>
      </c>
      <c r="H27" s="12">
        <v>3</v>
      </c>
      <c r="I27" s="8" t="s">
        <v>261</v>
      </c>
      <c r="J27" s="9" t="s">
        <v>258</v>
      </c>
      <c r="K27" s="9" t="s">
        <v>258</v>
      </c>
      <c r="L27" s="10"/>
    </row>
    <row r="28" spans="1:12" x14ac:dyDescent="0.3">
      <c r="A28" s="8">
        <v>27</v>
      </c>
      <c r="B28" s="9" t="s">
        <v>8</v>
      </c>
      <c r="C28" s="10" t="s">
        <v>66</v>
      </c>
      <c r="D28" s="11" t="s">
        <v>67</v>
      </c>
      <c r="E28" s="12" t="s">
        <v>4</v>
      </c>
      <c r="F28" s="12" t="s">
        <v>51</v>
      </c>
      <c r="G28" s="9" t="s">
        <v>13</v>
      </c>
      <c r="H28" s="12">
        <v>4</v>
      </c>
      <c r="I28" s="8" t="s">
        <v>261</v>
      </c>
      <c r="J28" s="9" t="s">
        <v>258</v>
      </c>
      <c r="K28" s="9" t="s">
        <v>258</v>
      </c>
      <c r="L28" s="10"/>
    </row>
    <row r="29" spans="1:12" x14ac:dyDescent="0.3">
      <c r="A29" s="8">
        <v>28</v>
      </c>
      <c r="B29" s="9" t="s">
        <v>8</v>
      </c>
      <c r="C29" s="10" t="s">
        <v>68</v>
      </c>
      <c r="D29" s="11" t="s">
        <v>69</v>
      </c>
      <c r="E29" s="12" t="s">
        <v>4</v>
      </c>
      <c r="F29" s="12" t="s">
        <v>51</v>
      </c>
      <c r="G29" s="9" t="s">
        <v>13</v>
      </c>
      <c r="H29" s="12">
        <v>4</v>
      </c>
      <c r="I29" s="8" t="s">
        <v>261</v>
      </c>
      <c r="J29" s="9" t="s">
        <v>258</v>
      </c>
      <c r="K29" s="9" t="s">
        <v>258</v>
      </c>
      <c r="L29" s="10"/>
    </row>
    <row r="30" spans="1:12" x14ac:dyDescent="0.3">
      <c r="A30" s="8">
        <v>29</v>
      </c>
      <c r="B30" s="9" t="s">
        <v>8</v>
      </c>
      <c r="C30" s="10" t="s">
        <v>70</v>
      </c>
      <c r="D30" s="11" t="s">
        <v>71</v>
      </c>
      <c r="E30" s="12" t="s">
        <v>4</v>
      </c>
      <c r="F30" s="12" t="s">
        <v>16</v>
      </c>
      <c r="G30" s="9" t="s">
        <v>13</v>
      </c>
      <c r="H30" s="12">
        <v>5</v>
      </c>
      <c r="I30" s="8" t="s">
        <v>261</v>
      </c>
      <c r="J30" s="9" t="s">
        <v>258</v>
      </c>
      <c r="K30" s="9" t="s">
        <v>258</v>
      </c>
      <c r="L30" s="10"/>
    </row>
    <row r="31" spans="1:12" x14ac:dyDescent="0.3">
      <c r="A31" s="8">
        <v>30</v>
      </c>
      <c r="B31" s="9" t="s">
        <v>8</v>
      </c>
      <c r="C31" s="10" t="s">
        <v>72</v>
      </c>
      <c r="D31" s="11" t="s">
        <v>73</v>
      </c>
      <c r="E31" s="12" t="s">
        <v>4</v>
      </c>
      <c r="F31" s="12" t="s">
        <v>16</v>
      </c>
      <c r="G31" s="9" t="s">
        <v>13</v>
      </c>
      <c r="H31" s="12">
        <v>3</v>
      </c>
      <c r="I31" s="8" t="s">
        <v>261</v>
      </c>
      <c r="J31" s="9" t="s">
        <v>258</v>
      </c>
      <c r="K31" s="9" t="s">
        <v>258</v>
      </c>
      <c r="L31" s="10"/>
    </row>
    <row r="32" spans="1:12" x14ac:dyDescent="0.3">
      <c r="A32" s="8">
        <v>31</v>
      </c>
      <c r="B32" s="9" t="s">
        <v>8</v>
      </c>
      <c r="C32" s="10" t="s">
        <v>74</v>
      </c>
      <c r="D32" s="11" t="s">
        <v>75</v>
      </c>
      <c r="E32" s="12" t="s">
        <v>4</v>
      </c>
      <c r="F32" s="12" t="s">
        <v>16</v>
      </c>
      <c r="G32" s="9" t="s">
        <v>13</v>
      </c>
      <c r="H32" s="12">
        <v>2</v>
      </c>
      <c r="I32" s="8" t="s">
        <v>261</v>
      </c>
      <c r="J32" s="9" t="s">
        <v>258</v>
      </c>
      <c r="K32" s="9" t="s">
        <v>258</v>
      </c>
      <c r="L32" s="10"/>
    </row>
    <row r="33" spans="1:12" x14ac:dyDescent="0.3">
      <c r="A33" s="8">
        <v>32</v>
      </c>
      <c r="B33" s="9" t="s">
        <v>8</v>
      </c>
      <c r="C33" s="10" t="s">
        <v>76</v>
      </c>
      <c r="D33" s="14" t="s">
        <v>77</v>
      </c>
      <c r="E33" s="12" t="s">
        <v>4</v>
      </c>
      <c r="F33" s="12" t="s">
        <v>16</v>
      </c>
      <c r="G33" s="9" t="s">
        <v>13</v>
      </c>
      <c r="H33" s="15">
        <v>4</v>
      </c>
      <c r="I33" s="8" t="s">
        <v>261</v>
      </c>
      <c r="J33" s="9" t="s">
        <v>258</v>
      </c>
      <c r="K33" s="9" t="s">
        <v>258</v>
      </c>
      <c r="L33" s="10"/>
    </row>
    <row r="34" spans="1:12" x14ac:dyDescent="0.3">
      <c r="A34" s="8">
        <v>33</v>
      </c>
      <c r="B34" s="9" t="s">
        <v>8</v>
      </c>
      <c r="C34" s="10" t="s">
        <v>78</v>
      </c>
      <c r="D34" s="14" t="s">
        <v>79</v>
      </c>
      <c r="E34" s="12" t="s">
        <v>4</v>
      </c>
      <c r="F34" s="12" t="s">
        <v>16</v>
      </c>
      <c r="G34" s="9" t="s">
        <v>13</v>
      </c>
      <c r="H34" s="15">
        <v>5</v>
      </c>
      <c r="I34" s="8" t="s">
        <v>261</v>
      </c>
      <c r="J34" s="9" t="s">
        <v>258</v>
      </c>
      <c r="K34" s="9" t="s">
        <v>258</v>
      </c>
      <c r="L34" s="10"/>
    </row>
    <row r="35" spans="1:12" x14ac:dyDescent="0.3">
      <c r="A35" s="8">
        <v>34</v>
      </c>
      <c r="B35" s="9" t="s">
        <v>8</v>
      </c>
      <c r="C35" s="10" t="s">
        <v>80</v>
      </c>
      <c r="D35" s="14" t="s">
        <v>81</v>
      </c>
      <c r="E35" s="12" t="s">
        <v>4</v>
      </c>
      <c r="F35" s="12" t="s">
        <v>16</v>
      </c>
      <c r="G35" s="9" t="s">
        <v>13</v>
      </c>
      <c r="H35" s="15">
        <v>4</v>
      </c>
      <c r="I35" s="8" t="s">
        <v>261</v>
      </c>
      <c r="J35" s="9" t="s">
        <v>258</v>
      </c>
      <c r="K35" s="9" t="s">
        <v>258</v>
      </c>
      <c r="L35" s="10"/>
    </row>
    <row r="36" spans="1:12" x14ac:dyDescent="0.3">
      <c r="A36" s="8">
        <v>35</v>
      </c>
      <c r="B36" s="9" t="s">
        <v>8</v>
      </c>
      <c r="C36" s="10" t="s">
        <v>82</v>
      </c>
      <c r="D36" s="11" t="s">
        <v>83</v>
      </c>
      <c r="E36" s="12" t="s">
        <v>84</v>
      </c>
      <c r="F36" s="16" t="s">
        <v>12</v>
      </c>
      <c r="G36" s="9" t="s">
        <v>13</v>
      </c>
      <c r="H36" s="12">
        <v>4</v>
      </c>
      <c r="I36" s="8" t="s">
        <v>261</v>
      </c>
      <c r="J36" s="9" t="s">
        <v>258</v>
      </c>
      <c r="K36" s="9" t="s">
        <v>258</v>
      </c>
      <c r="L36" s="10"/>
    </row>
    <row r="37" spans="1:12" x14ac:dyDescent="0.3">
      <c r="A37" s="8">
        <v>36</v>
      </c>
      <c r="B37" s="9" t="s">
        <v>8</v>
      </c>
      <c r="C37" s="10" t="s">
        <v>85</v>
      </c>
      <c r="D37" s="11" t="s">
        <v>86</v>
      </c>
      <c r="E37" s="12" t="s">
        <v>84</v>
      </c>
      <c r="F37" s="16" t="s">
        <v>12</v>
      </c>
      <c r="G37" s="9" t="s">
        <v>13</v>
      </c>
      <c r="H37" s="17">
        <v>3</v>
      </c>
      <c r="I37" s="8" t="s">
        <v>261</v>
      </c>
      <c r="J37" s="9" t="s">
        <v>258</v>
      </c>
      <c r="K37" s="9" t="s">
        <v>258</v>
      </c>
      <c r="L37" s="10"/>
    </row>
    <row r="38" spans="1:12" x14ac:dyDescent="0.3">
      <c r="A38" s="8">
        <v>37</v>
      </c>
      <c r="B38" s="9" t="s">
        <v>8</v>
      </c>
      <c r="C38" s="10" t="s">
        <v>87</v>
      </c>
      <c r="D38" s="11" t="s">
        <v>88</v>
      </c>
      <c r="E38" s="12" t="s">
        <v>4</v>
      </c>
      <c r="F38" s="12" t="s">
        <v>51</v>
      </c>
      <c r="G38" s="9" t="s">
        <v>13</v>
      </c>
      <c r="H38" s="12">
        <v>3</v>
      </c>
      <c r="I38" s="8" t="s">
        <v>261</v>
      </c>
      <c r="J38" s="9" t="s">
        <v>258</v>
      </c>
      <c r="K38" s="9" t="s">
        <v>258</v>
      </c>
      <c r="L38" s="10"/>
    </row>
    <row r="39" spans="1:12" x14ac:dyDescent="0.3">
      <c r="A39" s="8">
        <v>38</v>
      </c>
      <c r="B39" s="9" t="s">
        <v>8</v>
      </c>
      <c r="C39" s="10" t="s">
        <v>89</v>
      </c>
      <c r="D39" s="11" t="s">
        <v>90</v>
      </c>
      <c r="E39" s="12" t="s">
        <v>4</v>
      </c>
      <c r="F39" s="12" t="s">
        <v>51</v>
      </c>
      <c r="G39" s="9" t="s">
        <v>13</v>
      </c>
      <c r="H39" s="12">
        <v>3</v>
      </c>
      <c r="I39" s="8" t="s">
        <v>261</v>
      </c>
      <c r="J39" s="9" t="s">
        <v>258</v>
      </c>
      <c r="K39" s="9" t="s">
        <v>258</v>
      </c>
      <c r="L39" s="10"/>
    </row>
    <row r="40" spans="1:12" x14ac:dyDescent="0.3">
      <c r="A40" s="8">
        <v>39</v>
      </c>
      <c r="B40" s="9" t="s">
        <v>8</v>
      </c>
      <c r="C40" s="10" t="s">
        <v>91</v>
      </c>
      <c r="D40" s="11" t="s">
        <v>92</v>
      </c>
      <c r="E40" s="12" t="s">
        <v>4</v>
      </c>
      <c r="F40" s="12" t="s">
        <v>51</v>
      </c>
      <c r="G40" s="9" t="s">
        <v>13</v>
      </c>
      <c r="H40" s="12">
        <v>5</v>
      </c>
      <c r="I40" s="8" t="s">
        <v>261</v>
      </c>
      <c r="J40" s="9" t="s">
        <v>258</v>
      </c>
      <c r="K40" s="9" t="s">
        <v>258</v>
      </c>
      <c r="L40" s="10"/>
    </row>
    <row r="41" spans="1:12" x14ac:dyDescent="0.3">
      <c r="A41" s="8">
        <v>40</v>
      </c>
      <c r="B41" s="9" t="s">
        <v>8</v>
      </c>
      <c r="C41" s="10" t="s">
        <v>93</v>
      </c>
      <c r="D41" s="11" t="s">
        <v>94</v>
      </c>
      <c r="E41" s="12" t="s">
        <v>4</v>
      </c>
      <c r="F41" s="12" t="s">
        <v>51</v>
      </c>
      <c r="G41" s="9" t="s">
        <v>13</v>
      </c>
      <c r="H41" s="12">
        <v>4</v>
      </c>
      <c r="I41" s="8" t="s">
        <v>261</v>
      </c>
      <c r="J41" s="9" t="s">
        <v>258</v>
      </c>
      <c r="K41" s="9" t="s">
        <v>258</v>
      </c>
      <c r="L41" s="10"/>
    </row>
    <row r="42" spans="1:12" x14ac:dyDescent="0.3">
      <c r="A42" s="8">
        <v>41</v>
      </c>
      <c r="B42" s="9" t="s">
        <v>8</v>
      </c>
      <c r="C42" s="10" t="s">
        <v>95</v>
      </c>
      <c r="D42" s="11" t="s">
        <v>96</v>
      </c>
      <c r="E42" s="12" t="s">
        <v>4</v>
      </c>
      <c r="F42" s="12" t="s">
        <v>51</v>
      </c>
      <c r="G42" s="9" t="s">
        <v>13</v>
      </c>
      <c r="H42" s="12">
        <v>4</v>
      </c>
      <c r="I42" s="8" t="s">
        <v>261</v>
      </c>
      <c r="J42" s="9" t="s">
        <v>258</v>
      </c>
      <c r="K42" s="9" t="s">
        <v>258</v>
      </c>
      <c r="L42" s="10"/>
    </row>
    <row r="43" spans="1:12" x14ac:dyDescent="0.3">
      <c r="A43" s="8">
        <v>42</v>
      </c>
      <c r="B43" s="9" t="s">
        <v>8</v>
      </c>
      <c r="C43" s="10" t="s">
        <v>97</v>
      </c>
      <c r="D43" s="11" t="s">
        <v>98</v>
      </c>
      <c r="E43" s="12" t="s">
        <v>4</v>
      </c>
      <c r="F43" s="12" t="s">
        <v>51</v>
      </c>
      <c r="G43" s="9" t="s">
        <v>13</v>
      </c>
      <c r="H43" s="12">
        <v>4</v>
      </c>
      <c r="I43" s="8" t="s">
        <v>261</v>
      </c>
      <c r="J43" s="9" t="s">
        <v>258</v>
      </c>
      <c r="K43" s="9" t="s">
        <v>258</v>
      </c>
      <c r="L43" s="10"/>
    </row>
    <row r="44" spans="1:12" x14ac:dyDescent="0.3">
      <c r="A44" s="8">
        <v>43</v>
      </c>
      <c r="B44" s="9" t="s">
        <v>8</v>
      </c>
      <c r="C44" s="10" t="s">
        <v>99</v>
      </c>
      <c r="D44" s="11" t="s">
        <v>100</v>
      </c>
      <c r="E44" s="12" t="s">
        <v>4</v>
      </c>
      <c r="F44" s="12" t="s">
        <v>51</v>
      </c>
      <c r="G44" s="9" t="s">
        <v>13</v>
      </c>
      <c r="H44" s="12">
        <v>5</v>
      </c>
      <c r="I44" s="8" t="s">
        <v>261</v>
      </c>
      <c r="J44" s="9" t="s">
        <v>258</v>
      </c>
      <c r="K44" s="9" t="s">
        <v>258</v>
      </c>
      <c r="L44" s="10"/>
    </row>
    <row r="45" spans="1:12" x14ac:dyDescent="0.3">
      <c r="A45" s="8">
        <v>44</v>
      </c>
      <c r="B45" s="9" t="s">
        <v>8</v>
      </c>
      <c r="C45" s="10" t="s">
        <v>101</v>
      </c>
      <c r="D45" s="11" t="s">
        <v>102</v>
      </c>
      <c r="E45" s="12" t="s">
        <v>4</v>
      </c>
      <c r="F45" s="12" t="s">
        <v>51</v>
      </c>
      <c r="G45" s="9" t="s">
        <v>13</v>
      </c>
      <c r="H45" s="12">
        <v>4</v>
      </c>
      <c r="I45" s="8" t="s">
        <v>261</v>
      </c>
      <c r="J45" s="9" t="s">
        <v>258</v>
      </c>
      <c r="K45" s="9" t="s">
        <v>258</v>
      </c>
      <c r="L45" s="10"/>
    </row>
    <row r="46" spans="1:12" x14ac:dyDescent="0.3">
      <c r="A46" s="8">
        <v>45</v>
      </c>
      <c r="B46" s="9" t="s">
        <v>8</v>
      </c>
      <c r="C46" s="10" t="s">
        <v>103</v>
      </c>
      <c r="D46" s="11" t="s">
        <v>104</v>
      </c>
      <c r="E46" s="12" t="s">
        <v>4</v>
      </c>
      <c r="F46" s="12" t="s">
        <v>51</v>
      </c>
      <c r="G46" s="9" t="s">
        <v>13</v>
      </c>
      <c r="H46" s="12">
        <v>3</v>
      </c>
      <c r="I46" s="8" t="s">
        <v>261</v>
      </c>
      <c r="J46" s="9" t="s">
        <v>258</v>
      </c>
      <c r="K46" s="9" t="s">
        <v>258</v>
      </c>
      <c r="L46" s="10"/>
    </row>
    <row r="47" spans="1:12" x14ac:dyDescent="0.3">
      <c r="A47" s="8">
        <v>46</v>
      </c>
      <c r="B47" s="9" t="s">
        <v>8</v>
      </c>
      <c r="C47" s="10" t="s">
        <v>105</v>
      </c>
      <c r="D47" s="11" t="s">
        <v>106</v>
      </c>
      <c r="E47" s="12" t="s">
        <v>4</v>
      </c>
      <c r="F47" s="12" t="s">
        <v>51</v>
      </c>
      <c r="G47" s="9" t="s">
        <v>13</v>
      </c>
      <c r="H47" s="12">
        <v>4</v>
      </c>
      <c r="I47" s="8" t="s">
        <v>261</v>
      </c>
      <c r="J47" s="9" t="s">
        <v>258</v>
      </c>
      <c r="K47" s="9" t="s">
        <v>258</v>
      </c>
      <c r="L47" s="10"/>
    </row>
    <row r="48" spans="1:12" x14ac:dyDescent="0.3">
      <c r="A48" s="8">
        <v>47</v>
      </c>
      <c r="B48" s="9" t="s">
        <v>8</v>
      </c>
      <c r="C48" s="10" t="s">
        <v>107</v>
      </c>
      <c r="D48" s="11" t="s">
        <v>108</v>
      </c>
      <c r="E48" s="12" t="s">
        <v>4</v>
      </c>
      <c r="F48" s="12" t="s">
        <v>51</v>
      </c>
      <c r="G48" s="9" t="s">
        <v>13</v>
      </c>
      <c r="H48" s="12">
        <v>6</v>
      </c>
      <c r="I48" s="8" t="s">
        <v>261</v>
      </c>
      <c r="J48" s="9" t="s">
        <v>258</v>
      </c>
      <c r="K48" s="9" t="s">
        <v>258</v>
      </c>
      <c r="L48" s="10"/>
    </row>
    <row r="49" spans="1:12" x14ac:dyDescent="0.3">
      <c r="A49" s="8">
        <v>48</v>
      </c>
      <c r="B49" s="9" t="s">
        <v>8</v>
      </c>
      <c r="C49" s="10" t="s">
        <v>109</v>
      </c>
      <c r="D49" s="11" t="s">
        <v>110</v>
      </c>
      <c r="E49" s="12" t="s">
        <v>4</v>
      </c>
      <c r="F49" s="12" t="s">
        <v>51</v>
      </c>
      <c r="G49" s="9" t="s">
        <v>13</v>
      </c>
      <c r="H49" s="12">
        <v>3</v>
      </c>
      <c r="I49" s="8" t="s">
        <v>261</v>
      </c>
      <c r="J49" s="9" t="s">
        <v>258</v>
      </c>
      <c r="K49" s="9" t="s">
        <v>258</v>
      </c>
      <c r="L49" s="10"/>
    </row>
    <row r="50" spans="1:12" x14ac:dyDescent="0.3">
      <c r="A50" s="8">
        <v>49</v>
      </c>
      <c r="B50" s="9" t="s">
        <v>8</v>
      </c>
      <c r="C50" s="10" t="s">
        <v>111</v>
      </c>
      <c r="D50" s="11" t="s">
        <v>112</v>
      </c>
      <c r="E50" s="12" t="s">
        <v>4</v>
      </c>
      <c r="F50" s="12" t="s">
        <v>51</v>
      </c>
      <c r="G50" s="9" t="s">
        <v>13</v>
      </c>
      <c r="H50" s="12">
        <v>4</v>
      </c>
      <c r="I50" s="8" t="s">
        <v>261</v>
      </c>
      <c r="J50" s="9" t="s">
        <v>258</v>
      </c>
      <c r="K50" s="9" t="s">
        <v>258</v>
      </c>
      <c r="L50" s="10"/>
    </row>
    <row r="51" spans="1:12" x14ac:dyDescent="0.3">
      <c r="A51" s="8">
        <v>50</v>
      </c>
      <c r="B51" s="9" t="s">
        <v>8</v>
      </c>
      <c r="C51" s="10" t="s">
        <v>113</v>
      </c>
      <c r="D51" s="11" t="s">
        <v>114</v>
      </c>
      <c r="E51" s="12" t="s">
        <v>4</v>
      </c>
      <c r="F51" s="12" t="s">
        <v>51</v>
      </c>
      <c r="G51" s="9" t="s">
        <v>13</v>
      </c>
      <c r="H51" s="12">
        <v>3</v>
      </c>
      <c r="I51" s="8" t="s">
        <v>261</v>
      </c>
      <c r="J51" s="9" t="s">
        <v>258</v>
      </c>
      <c r="K51" s="9" t="s">
        <v>258</v>
      </c>
      <c r="L51" s="10"/>
    </row>
    <row r="52" spans="1:12" x14ac:dyDescent="0.3">
      <c r="A52" s="8">
        <v>51</v>
      </c>
      <c r="B52" s="9" t="s">
        <v>8</v>
      </c>
      <c r="C52" s="10" t="s">
        <v>115</v>
      </c>
      <c r="D52" s="11" t="s">
        <v>116</v>
      </c>
      <c r="E52" s="12" t="s">
        <v>4</v>
      </c>
      <c r="F52" s="12" t="s">
        <v>51</v>
      </c>
      <c r="G52" s="9" t="s">
        <v>13</v>
      </c>
      <c r="H52" s="12">
        <v>3</v>
      </c>
      <c r="I52" s="8" t="s">
        <v>261</v>
      </c>
      <c r="J52" s="9" t="s">
        <v>258</v>
      </c>
      <c r="K52" s="9" t="s">
        <v>258</v>
      </c>
      <c r="L52" s="10"/>
    </row>
    <row r="53" spans="1:12" x14ac:dyDescent="0.3">
      <c r="A53" s="8">
        <v>52</v>
      </c>
      <c r="B53" s="9" t="s">
        <v>8</v>
      </c>
      <c r="C53" s="10" t="s">
        <v>117</v>
      </c>
      <c r="D53" s="11" t="s">
        <v>118</v>
      </c>
      <c r="E53" s="12" t="s">
        <v>4</v>
      </c>
      <c r="F53" s="12" t="s">
        <v>51</v>
      </c>
      <c r="G53" s="9" t="s">
        <v>13</v>
      </c>
      <c r="H53" s="12">
        <v>3</v>
      </c>
      <c r="I53" s="8" t="s">
        <v>261</v>
      </c>
      <c r="J53" s="9" t="s">
        <v>258</v>
      </c>
      <c r="K53" s="9" t="s">
        <v>258</v>
      </c>
      <c r="L53" s="10"/>
    </row>
    <row r="54" spans="1:12" x14ac:dyDescent="0.3">
      <c r="A54" s="8">
        <v>53</v>
      </c>
      <c r="B54" s="9" t="s">
        <v>8</v>
      </c>
      <c r="C54" s="10" t="s">
        <v>119</v>
      </c>
      <c r="D54" s="11" t="s">
        <v>120</v>
      </c>
      <c r="E54" s="12" t="s">
        <v>84</v>
      </c>
      <c r="F54" s="16" t="s">
        <v>12</v>
      </c>
      <c r="G54" s="9" t="s">
        <v>13</v>
      </c>
      <c r="H54" s="12">
        <v>4</v>
      </c>
      <c r="I54" s="8" t="s">
        <v>261</v>
      </c>
      <c r="J54" s="9" t="s">
        <v>258</v>
      </c>
      <c r="K54" s="9" t="s">
        <v>258</v>
      </c>
      <c r="L54" s="10"/>
    </row>
    <row r="55" spans="1:12" x14ac:dyDescent="0.3">
      <c r="A55" s="8">
        <v>54</v>
      </c>
      <c r="B55" s="9" t="s">
        <v>8</v>
      </c>
      <c r="C55" s="10" t="s">
        <v>121</v>
      </c>
      <c r="D55" s="11" t="s">
        <v>122</v>
      </c>
      <c r="E55" s="12" t="s">
        <v>4</v>
      </c>
      <c r="F55" s="12" t="s">
        <v>51</v>
      </c>
      <c r="G55" s="9" t="s">
        <v>13</v>
      </c>
      <c r="H55" s="12">
        <v>3</v>
      </c>
      <c r="I55" s="8" t="s">
        <v>261</v>
      </c>
      <c r="J55" s="9" t="s">
        <v>258</v>
      </c>
      <c r="K55" s="9" t="s">
        <v>258</v>
      </c>
      <c r="L55" s="10"/>
    </row>
    <row r="56" spans="1:12" x14ac:dyDescent="0.3">
      <c r="A56" s="8">
        <v>55</v>
      </c>
      <c r="B56" s="9" t="s">
        <v>8</v>
      </c>
      <c r="C56" s="10" t="s">
        <v>123</v>
      </c>
      <c r="D56" s="11" t="s">
        <v>124</v>
      </c>
      <c r="E56" s="12" t="s">
        <v>4</v>
      </c>
      <c r="F56" s="12" t="s">
        <v>16</v>
      </c>
      <c r="G56" s="9" t="s">
        <v>13</v>
      </c>
      <c r="H56" s="18">
        <v>4</v>
      </c>
      <c r="I56" s="8" t="s">
        <v>261</v>
      </c>
      <c r="J56" s="9" t="s">
        <v>258</v>
      </c>
      <c r="K56" s="9" t="s">
        <v>258</v>
      </c>
      <c r="L56" s="10"/>
    </row>
    <row r="57" spans="1:12" x14ac:dyDescent="0.3">
      <c r="A57" s="8">
        <v>56</v>
      </c>
      <c r="B57" s="9" t="s">
        <v>8</v>
      </c>
      <c r="C57" s="10" t="s">
        <v>125</v>
      </c>
      <c r="D57" s="11" t="s">
        <v>126</v>
      </c>
      <c r="E57" s="12" t="s">
        <v>4</v>
      </c>
      <c r="F57" s="12" t="s">
        <v>16</v>
      </c>
      <c r="G57" s="9" t="s">
        <v>13</v>
      </c>
      <c r="H57" s="18">
        <v>3</v>
      </c>
      <c r="I57" s="8" t="s">
        <v>261</v>
      </c>
      <c r="J57" s="9" t="s">
        <v>258</v>
      </c>
      <c r="K57" s="9" t="s">
        <v>258</v>
      </c>
      <c r="L57" s="10"/>
    </row>
    <row r="58" spans="1:12" x14ac:dyDescent="0.3">
      <c r="A58" s="8">
        <v>57</v>
      </c>
      <c r="B58" s="9" t="s">
        <v>8</v>
      </c>
      <c r="C58" s="10" t="s">
        <v>127</v>
      </c>
      <c r="D58" s="11" t="s">
        <v>128</v>
      </c>
      <c r="E58" s="12" t="s">
        <v>4</v>
      </c>
      <c r="F58" s="12" t="s">
        <v>16</v>
      </c>
      <c r="G58" s="9" t="s">
        <v>13</v>
      </c>
      <c r="H58" s="18">
        <v>4</v>
      </c>
      <c r="I58" s="8" t="s">
        <v>261</v>
      </c>
      <c r="J58" s="9" t="s">
        <v>258</v>
      </c>
      <c r="K58" s="9" t="s">
        <v>258</v>
      </c>
      <c r="L58" s="10"/>
    </row>
    <row r="59" spans="1:12" x14ac:dyDescent="0.3">
      <c r="A59" s="8">
        <v>58</v>
      </c>
      <c r="B59" s="9" t="s">
        <v>8</v>
      </c>
      <c r="C59" s="10" t="s">
        <v>129</v>
      </c>
      <c r="D59" s="11" t="s">
        <v>130</v>
      </c>
      <c r="E59" s="12" t="s">
        <v>4</v>
      </c>
      <c r="F59" s="12" t="s">
        <v>16</v>
      </c>
      <c r="G59" s="9" t="s">
        <v>13</v>
      </c>
      <c r="H59" s="18">
        <v>4</v>
      </c>
      <c r="I59" s="8" t="s">
        <v>261</v>
      </c>
      <c r="J59" s="9" t="s">
        <v>258</v>
      </c>
      <c r="K59" s="9" t="s">
        <v>258</v>
      </c>
      <c r="L59" s="10"/>
    </row>
    <row r="60" spans="1:12" x14ac:dyDescent="0.3">
      <c r="A60" s="8">
        <v>59</v>
      </c>
      <c r="B60" s="9" t="s">
        <v>8</v>
      </c>
      <c r="C60" s="10" t="s">
        <v>131</v>
      </c>
      <c r="D60" s="11" t="s">
        <v>132</v>
      </c>
      <c r="E60" s="12" t="s">
        <v>4</v>
      </c>
      <c r="F60" s="12" t="s">
        <v>16</v>
      </c>
      <c r="G60" s="9" t="s">
        <v>13</v>
      </c>
      <c r="H60" s="18">
        <v>3</v>
      </c>
      <c r="I60" s="8" t="s">
        <v>261</v>
      </c>
      <c r="J60" s="9" t="s">
        <v>258</v>
      </c>
      <c r="K60" s="9" t="s">
        <v>258</v>
      </c>
      <c r="L60" s="10"/>
    </row>
    <row r="61" spans="1:12" x14ac:dyDescent="0.3">
      <c r="A61" s="8">
        <v>60</v>
      </c>
      <c r="B61" s="9" t="s">
        <v>8</v>
      </c>
      <c r="C61" s="10" t="s">
        <v>133</v>
      </c>
      <c r="D61" s="11" t="s">
        <v>134</v>
      </c>
      <c r="E61" s="12" t="s">
        <v>4</v>
      </c>
      <c r="F61" s="12" t="s">
        <v>16</v>
      </c>
      <c r="G61" s="9" t="s">
        <v>13</v>
      </c>
      <c r="H61" s="18">
        <v>7</v>
      </c>
      <c r="I61" s="8" t="s">
        <v>261</v>
      </c>
      <c r="J61" s="9" t="s">
        <v>258</v>
      </c>
      <c r="K61" s="9" t="s">
        <v>258</v>
      </c>
      <c r="L61" s="10"/>
    </row>
    <row r="62" spans="1:12" x14ac:dyDescent="0.3">
      <c r="A62" s="8">
        <v>61</v>
      </c>
      <c r="B62" s="9" t="s">
        <v>8</v>
      </c>
      <c r="C62" s="10" t="s">
        <v>135</v>
      </c>
      <c r="D62" s="14" t="s">
        <v>136</v>
      </c>
      <c r="E62" s="12" t="s">
        <v>4</v>
      </c>
      <c r="F62" s="12" t="s">
        <v>16</v>
      </c>
      <c r="G62" s="9" t="s">
        <v>13</v>
      </c>
      <c r="H62" s="19">
        <v>4</v>
      </c>
      <c r="I62" s="8" t="s">
        <v>261</v>
      </c>
      <c r="J62" s="9" t="s">
        <v>258</v>
      </c>
      <c r="K62" s="9" t="s">
        <v>258</v>
      </c>
      <c r="L62" s="10"/>
    </row>
    <row r="63" spans="1:12" x14ac:dyDescent="0.3">
      <c r="A63" s="8">
        <v>62</v>
      </c>
      <c r="B63" s="9" t="s">
        <v>8</v>
      </c>
      <c r="C63" s="10" t="s">
        <v>137</v>
      </c>
      <c r="D63" s="14" t="s">
        <v>138</v>
      </c>
      <c r="E63" s="12" t="s">
        <v>4</v>
      </c>
      <c r="F63" s="12" t="s">
        <v>16</v>
      </c>
      <c r="G63" s="9" t="s">
        <v>13</v>
      </c>
      <c r="H63" s="20">
        <v>3</v>
      </c>
      <c r="I63" s="8" t="s">
        <v>261</v>
      </c>
      <c r="J63" s="9" t="s">
        <v>258</v>
      </c>
      <c r="K63" s="9" t="s">
        <v>258</v>
      </c>
      <c r="L63" s="10"/>
    </row>
    <row r="64" spans="1:12" x14ac:dyDescent="0.3">
      <c r="A64" s="8">
        <v>63</v>
      </c>
      <c r="B64" s="9" t="s">
        <v>8</v>
      </c>
      <c r="C64" s="10" t="s">
        <v>139</v>
      </c>
      <c r="D64" s="11" t="s">
        <v>140</v>
      </c>
      <c r="E64" s="12" t="s">
        <v>4</v>
      </c>
      <c r="F64" s="12" t="s">
        <v>16</v>
      </c>
      <c r="G64" s="9" t="s">
        <v>13</v>
      </c>
      <c r="H64" s="20">
        <v>4</v>
      </c>
      <c r="I64" s="8" t="s">
        <v>261</v>
      </c>
      <c r="J64" s="9" t="s">
        <v>258</v>
      </c>
      <c r="K64" s="9" t="s">
        <v>258</v>
      </c>
      <c r="L64" s="10"/>
    </row>
    <row r="65" spans="1:12" x14ac:dyDescent="0.3">
      <c r="A65" s="8">
        <v>64</v>
      </c>
      <c r="B65" s="9" t="s">
        <v>8</v>
      </c>
      <c r="C65" s="10" t="s">
        <v>141</v>
      </c>
      <c r="D65" s="11" t="s">
        <v>142</v>
      </c>
      <c r="E65" s="12" t="s">
        <v>4</v>
      </c>
      <c r="F65" s="12" t="s">
        <v>16</v>
      </c>
      <c r="G65" s="9" t="s">
        <v>13</v>
      </c>
      <c r="H65" s="12">
        <v>4</v>
      </c>
      <c r="I65" s="8" t="s">
        <v>261</v>
      </c>
      <c r="J65" s="9" t="s">
        <v>258</v>
      </c>
      <c r="K65" s="9" t="s">
        <v>258</v>
      </c>
      <c r="L65" s="10"/>
    </row>
    <row r="66" spans="1:12" x14ac:dyDescent="0.3">
      <c r="A66" s="8">
        <v>65</v>
      </c>
      <c r="B66" s="9" t="s">
        <v>8</v>
      </c>
      <c r="C66" s="10" t="s">
        <v>143</v>
      </c>
      <c r="D66" s="11" t="s">
        <v>144</v>
      </c>
      <c r="E66" s="12" t="s">
        <v>4</v>
      </c>
      <c r="F66" s="12" t="s">
        <v>16</v>
      </c>
      <c r="G66" s="9" t="s">
        <v>13</v>
      </c>
      <c r="H66" s="12">
        <v>3</v>
      </c>
      <c r="I66" s="8" t="s">
        <v>261</v>
      </c>
      <c r="J66" s="9" t="s">
        <v>258</v>
      </c>
      <c r="K66" s="9" t="s">
        <v>258</v>
      </c>
      <c r="L66" s="10"/>
    </row>
    <row r="67" spans="1:12" x14ac:dyDescent="0.3">
      <c r="A67" s="8">
        <v>66</v>
      </c>
      <c r="B67" s="9" t="s">
        <v>8</v>
      </c>
      <c r="C67" s="10" t="s">
        <v>145</v>
      </c>
      <c r="D67" s="14" t="s">
        <v>146</v>
      </c>
      <c r="E67" s="12" t="s">
        <v>11</v>
      </c>
      <c r="F67" s="21" t="s">
        <v>12</v>
      </c>
      <c r="G67" s="9" t="s">
        <v>13</v>
      </c>
      <c r="H67" s="15">
        <v>4</v>
      </c>
      <c r="I67" s="8" t="s">
        <v>261</v>
      </c>
      <c r="J67" s="9" t="s">
        <v>258</v>
      </c>
      <c r="K67" s="9" t="s">
        <v>258</v>
      </c>
      <c r="L67" s="10"/>
    </row>
    <row r="68" spans="1:12" x14ac:dyDescent="0.3">
      <c r="A68" s="8">
        <v>67</v>
      </c>
      <c r="B68" s="9" t="s">
        <v>8</v>
      </c>
      <c r="C68" s="10" t="s">
        <v>147</v>
      </c>
      <c r="D68" s="11" t="s">
        <v>148</v>
      </c>
      <c r="E68" s="12" t="s">
        <v>4</v>
      </c>
      <c r="F68" s="13" t="s">
        <v>51</v>
      </c>
      <c r="G68" s="9" t="s">
        <v>13</v>
      </c>
      <c r="H68" s="15">
        <v>2</v>
      </c>
      <c r="I68" s="67" t="s">
        <v>256</v>
      </c>
      <c r="J68" s="9" t="s">
        <v>258</v>
      </c>
      <c r="K68" s="9" t="s">
        <v>258</v>
      </c>
      <c r="L68" s="10"/>
    </row>
    <row r="69" spans="1:12" x14ac:dyDescent="0.3">
      <c r="A69" s="8">
        <v>68</v>
      </c>
      <c r="B69" s="9" t="s">
        <v>8</v>
      </c>
      <c r="C69" s="10" t="s">
        <v>149</v>
      </c>
      <c r="D69" s="14" t="s">
        <v>150</v>
      </c>
      <c r="E69" s="12" t="s">
        <v>11</v>
      </c>
      <c r="F69" s="13" t="s">
        <v>12</v>
      </c>
      <c r="G69" s="9" t="s">
        <v>13</v>
      </c>
      <c r="H69" s="15">
        <v>3</v>
      </c>
      <c r="I69" s="8" t="s">
        <v>261</v>
      </c>
      <c r="J69" s="9" t="s">
        <v>258</v>
      </c>
      <c r="K69" s="9" t="s">
        <v>258</v>
      </c>
    </row>
    <row r="70" spans="1:12" x14ac:dyDescent="0.3">
      <c r="A70" s="8">
        <v>69</v>
      </c>
      <c r="B70" s="9" t="s">
        <v>8</v>
      </c>
      <c r="C70" s="10" t="s">
        <v>151</v>
      </c>
      <c r="D70" s="11" t="s">
        <v>152</v>
      </c>
      <c r="E70" s="12" t="s">
        <v>4</v>
      </c>
      <c r="F70" s="13" t="s">
        <v>16</v>
      </c>
      <c r="G70" s="9" t="s">
        <v>13</v>
      </c>
      <c r="H70" s="15">
        <v>4</v>
      </c>
      <c r="I70" s="8" t="s">
        <v>261</v>
      </c>
      <c r="J70" s="9" t="s">
        <v>258</v>
      </c>
      <c r="K70" s="9" t="s">
        <v>258</v>
      </c>
    </row>
    <row r="71" spans="1:12" x14ac:dyDescent="0.3">
      <c r="A71" s="8">
        <v>70</v>
      </c>
      <c r="B71" s="9" t="s">
        <v>8</v>
      </c>
      <c r="C71" s="10" t="s">
        <v>153</v>
      </c>
      <c r="D71" s="11" t="s">
        <v>154</v>
      </c>
      <c r="E71" s="12" t="s">
        <v>11</v>
      </c>
      <c r="F71" s="13" t="s">
        <v>12</v>
      </c>
      <c r="G71" s="9" t="s">
        <v>13</v>
      </c>
      <c r="H71" s="12">
        <v>4</v>
      </c>
      <c r="I71" s="8" t="s">
        <v>261</v>
      </c>
      <c r="J71" s="9" t="s">
        <v>258</v>
      </c>
      <c r="K71" s="9" t="s">
        <v>258</v>
      </c>
    </row>
    <row r="72" spans="1:12" x14ac:dyDescent="0.3">
      <c r="A72" s="8">
        <v>71</v>
      </c>
      <c r="B72" s="9" t="s">
        <v>8</v>
      </c>
      <c r="C72" s="10" t="s">
        <v>155</v>
      </c>
      <c r="D72" s="11" t="s">
        <v>156</v>
      </c>
      <c r="E72" s="13" t="s">
        <v>11</v>
      </c>
      <c r="F72" s="13" t="s">
        <v>12</v>
      </c>
      <c r="G72" s="9" t="s">
        <v>13</v>
      </c>
      <c r="H72" s="12">
        <v>5</v>
      </c>
      <c r="I72" s="8" t="s">
        <v>261</v>
      </c>
      <c r="J72" s="9" t="s">
        <v>258</v>
      </c>
      <c r="K72" s="9" t="s">
        <v>258</v>
      </c>
    </row>
    <row r="73" spans="1:12" x14ac:dyDescent="0.3">
      <c r="A73" s="22">
        <v>72</v>
      </c>
      <c r="B73" s="23" t="s">
        <v>157</v>
      </c>
      <c r="C73" s="24" t="s">
        <v>158</v>
      </c>
      <c r="D73" s="11" t="s">
        <v>159</v>
      </c>
      <c r="E73" s="17" t="s">
        <v>4</v>
      </c>
      <c r="F73" s="17" t="s">
        <v>16</v>
      </c>
      <c r="G73" s="23" t="s">
        <v>13</v>
      </c>
      <c r="H73" s="17">
        <v>3</v>
      </c>
      <c r="I73" s="67" t="s">
        <v>256</v>
      </c>
      <c r="J73" s="9" t="s">
        <v>258</v>
      </c>
      <c r="K73" s="9" t="s">
        <v>258</v>
      </c>
    </row>
    <row r="74" spans="1:12" x14ac:dyDescent="0.3">
      <c r="A74" s="22">
        <v>73</v>
      </c>
      <c r="B74" s="23" t="s">
        <v>157</v>
      </c>
      <c r="C74" s="24" t="s">
        <v>161</v>
      </c>
      <c r="D74" s="11" t="s">
        <v>159</v>
      </c>
      <c r="E74" s="17" t="s">
        <v>4</v>
      </c>
      <c r="F74" s="17" t="s">
        <v>16</v>
      </c>
      <c r="G74" s="23" t="s">
        <v>13</v>
      </c>
      <c r="H74" s="17">
        <v>4</v>
      </c>
      <c r="I74" s="67" t="s">
        <v>256</v>
      </c>
      <c r="J74" s="9" t="s">
        <v>258</v>
      </c>
      <c r="K74" s="9" t="s">
        <v>258</v>
      </c>
    </row>
    <row r="75" spans="1:12" x14ac:dyDescent="0.3">
      <c r="A75" s="26">
        <v>74</v>
      </c>
      <c r="B75" s="27" t="s">
        <v>157</v>
      </c>
      <c r="C75" s="28" t="s">
        <v>162</v>
      </c>
      <c r="D75" s="11">
        <v>15071</v>
      </c>
      <c r="E75" s="29" t="s">
        <v>4</v>
      </c>
      <c r="F75" s="29" t="s">
        <v>16</v>
      </c>
      <c r="G75" s="27" t="s">
        <v>13</v>
      </c>
      <c r="H75" s="29">
        <v>3</v>
      </c>
      <c r="I75" s="8" t="s">
        <v>261</v>
      </c>
      <c r="J75" s="9" t="s">
        <v>258</v>
      </c>
      <c r="K75" s="9" t="s">
        <v>258</v>
      </c>
    </row>
    <row r="76" spans="1:12" x14ac:dyDescent="0.3">
      <c r="A76" s="26">
        <v>75</v>
      </c>
      <c r="B76" s="27" t="s">
        <v>157</v>
      </c>
      <c r="C76" s="28" t="s">
        <v>163</v>
      </c>
      <c r="D76" s="11">
        <v>15080</v>
      </c>
      <c r="E76" s="29" t="s">
        <v>4</v>
      </c>
      <c r="F76" s="29" t="s">
        <v>16</v>
      </c>
      <c r="G76" s="27" t="s">
        <v>13</v>
      </c>
      <c r="H76" s="29">
        <v>4</v>
      </c>
      <c r="I76" s="8" t="s">
        <v>261</v>
      </c>
      <c r="J76" s="9" t="s">
        <v>258</v>
      </c>
      <c r="K76" s="9" t="s">
        <v>258</v>
      </c>
    </row>
    <row r="77" spans="1:12" x14ac:dyDescent="0.3">
      <c r="A77" s="26">
        <v>76</v>
      </c>
      <c r="B77" s="27" t="s">
        <v>157</v>
      </c>
      <c r="C77" s="28" t="s">
        <v>164</v>
      </c>
      <c r="D77" s="11">
        <v>15076</v>
      </c>
      <c r="E77" s="29" t="s">
        <v>4</v>
      </c>
      <c r="F77" s="29" t="s">
        <v>16</v>
      </c>
      <c r="G77" s="27" t="s">
        <v>13</v>
      </c>
      <c r="H77" s="29">
        <v>2</v>
      </c>
      <c r="I77" s="8" t="s">
        <v>261</v>
      </c>
      <c r="J77" s="9" t="s">
        <v>258</v>
      </c>
      <c r="K77" s="9" t="s">
        <v>258</v>
      </c>
    </row>
    <row r="78" spans="1:12" x14ac:dyDescent="0.3">
      <c r="A78" s="26">
        <v>77</v>
      </c>
      <c r="B78" s="27" t="s">
        <v>157</v>
      </c>
      <c r="C78" s="28" t="s">
        <v>165</v>
      </c>
      <c r="D78" s="11">
        <v>20061</v>
      </c>
      <c r="E78" s="29" t="s">
        <v>4</v>
      </c>
      <c r="F78" s="29" t="s">
        <v>16</v>
      </c>
      <c r="G78" s="27" t="s">
        <v>13</v>
      </c>
      <c r="H78" s="29">
        <v>2</v>
      </c>
      <c r="I78" s="8" t="s">
        <v>261</v>
      </c>
      <c r="J78" s="9" t="s">
        <v>258</v>
      </c>
      <c r="K78" s="9" t="s">
        <v>258</v>
      </c>
    </row>
    <row r="79" spans="1:12" x14ac:dyDescent="0.3">
      <c r="A79" s="26">
        <v>78</v>
      </c>
      <c r="B79" s="27" t="s">
        <v>157</v>
      </c>
      <c r="C79" s="28" t="s">
        <v>166</v>
      </c>
      <c r="D79" s="11">
        <v>20036</v>
      </c>
      <c r="E79" s="29" t="s">
        <v>4</v>
      </c>
      <c r="F79" s="29" t="s">
        <v>16</v>
      </c>
      <c r="G79" s="27" t="s">
        <v>13</v>
      </c>
      <c r="H79" s="29">
        <v>3</v>
      </c>
      <c r="I79" s="8" t="s">
        <v>261</v>
      </c>
      <c r="J79" s="9" t="s">
        <v>258</v>
      </c>
      <c r="K79" s="9" t="s">
        <v>258</v>
      </c>
    </row>
    <row r="80" spans="1:12" x14ac:dyDescent="0.3">
      <c r="A80" s="26">
        <v>79</v>
      </c>
      <c r="B80" s="27" t="s">
        <v>157</v>
      </c>
      <c r="C80" s="28" t="s">
        <v>167</v>
      </c>
      <c r="D80" s="11">
        <v>17061</v>
      </c>
      <c r="E80" s="29" t="s">
        <v>4</v>
      </c>
      <c r="F80" s="29" t="s">
        <v>16</v>
      </c>
      <c r="G80" s="27" t="s">
        <v>13</v>
      </c>
      <c r="H80" s="29">
        <v>3</v>
      </c>
      <c r="I80" s="8" t="s">
        <v>261</v>
      </c>
      <c r="J80" s="9" t="s">
        <v>258</v>
      </c>
      <c r="K80" s="9" t="s">
        <v>258</v>
      </c>
    </row>
    <row r="81" spans="1:17" x14ac:dyDescent="0.3">
      <c r="A81" s="26">
        <v>80</v>
      </c>
      <c r="B81" s="27" t="s">
        <v>157</v>
      </c>
      <c r="C81" s="28" t="s">
        <v>168</v>
      </c>
      <c r="D81" s="11">
        <v>17047</v>
      </c>
      <c r="E81" s="29" t="s">
        <v>4</v>
      </c>
      <c r="F81" s="29" t="s">
        <v>16</v>
      </c>
      <c r="G81" s="27" t="s">
        <v>13</v>
      </c>
      <c r="H81" s="29">
        <v>4</v>
      </c>
      <c r="I81" s="8" t="s">
        <v>261</v>
      </c>
      <c r="J81" s="9" t="s">
        <v>258</v>
      </c>
      <c r="K81" s="9" t="s">
        <v>258</v>
      </c>
    </row>
    <row r="82" spans="1:17" x14ac:dyDescent="0.3">
      <c r="A82" s="26">
        <v>81</v>
      </c>
      <c r="B82" s="27" t="s">
        <v>157</v>
      </c>
      <c r="C82" s="28" t="s">
        <v>169</v>
      </c>
      <c r="D82" s="11">
        <v>18098</v>
      </c>
      <c r="E82" s="29" t="s">
        <v>4</v>
      </c>
      <c r="F82" s="29" t="s">
        <v>16</v>
      </c>
      <c r="G82" s="27" t="s">
        <v>13</v>
      </c>
      <c r="H82" s="29">
        <v>2</v>
      </c>
      <c r="I82" s="8" t="s">
        <v>261</v>
      </c>
      <c r="J82" s="9" t="s">
        <v>258</v>
      </c>
      <c r="K82" s="9" t="s">
        <v>258</v>
      </c>
    </row>
    <row r="83" spans="1:17" x14ac:dyDescent="0.3">
      <c r="A83" s="26">
        <v>82</v>
      </c>
      <c r="B83" s="27" t="s">
        <v>157</v>
      </c>
      <c r="C83" s="28" t="s">
        <v>170</v>
      </c>
      <c r="D83" s="11">
        <v>18099</v>
      </c>
      <c r="E83" s="29" t="s">
        <v>4</v>
      </c>
      <c r="F83" s="29" t="s">
        <v>16</v>
      </c>
      <c r="G83" s="27" t="s">
        <v>13</v>
      </c>
      <c r="H83" s="29">
        <v>2</v>
      </c>
      <c r="I83" s="8" t="s">
        <v>261</v>
      </c>
      <c r="J83" s="9" t="s">
        <v>258</v>
      </c>
      <c r="K83" s="9" t="s">
        <v>258</v>
      </c>
    </row>
    <row r="84" spans="1:17" x14ac:dyDescent="0.3">
      <c r="A84" s="26">
        <v>83</v>
      </c>
      <c r="B84" s="27" t="s">
        <v>157</v>
      </c>
      <c r="C84" s="28" t="s">
        <v>171</v>
      </c>
      <c r="D84" s="11">
        <v>19077</v>
      </c>
      <c r="E84" s="29" t="s">
        <v>4</v>
      </c>
      <c r="F84" s="29" t="s">
        <v>16</v>
      </c>
      <c r="G84" s="27" t="s">
        <v>13</v>
      </c>
      <c r="H84" s="29">
        <v>2</v>
      </c>
      <c r="I84" s="8" t="s">
        <v>261</v>
      </c>
      <c r="J84" s="9" t="s">
        <v>258</v>
      </c>
      <c r="K84" s="9" t="s">
        <v>258</v>
      </c>
    </row>
    <row r="85" spans="1:17" x14ac:dyDescent="0.3">
      <c r="A85" s="26">
        <v>84</v>
      </c>
      <c r="B85" s="27" t="s">
        <v>157</v>
      </c>
      <c r="C85" s="28" t="s">
        <v>172</v>
      </c>
      <c r="D85" s="11">
        <v>17007</v>
      </c>
      <c r="E85" s="29" t="s">
        <v>4</v>
      </c>
      <c r="F85" s="29" t="s">
        <v>16</v>
      </c>
      <c r="G85" s="27" t="s">
        <v>13</v>
      </c>
      <c r="H85" s="29">
        <v>4</v>
      </c>
      <c r="I85" s="8" t="s">
        <v>261</v>
      </c>
      <c r="J85" s="9" t="s">
        <v>258</v>
      </c>
      <c r="K85" s="9" t="s">
        <v>258</v>
      </c>
    </row>
    <row r="86" spans="1:17" x14ac:dyDescent="0.3">
      <c r="A86" s="26">
        <v>85</v>
      </c>
      <c r="B86" s="27" t="s">
        <v>157</v>
      </c>
      <c r="C86" s="28" t="s">
        <v>173</v>
      </c>
      <c r="D86" s="30">
        <v>1058</v>
      </c>
      <c r="E86" s="29" t="s">
        <v>4</v>
      </c>
      <c r="F86" s="29" t="s">
        <v>16</v>
      </c>
      <c r="G86" s="27" t="s">
        <v>13</v>
      </c>
      <c r="H86" s="29">
        <v>3</v>
      </c>
      <c r="I86" s="8" t="s">
        <v>261</v>
      </c>
      <c r="J86" s="9" t="s">
        <v>258</v>
      </c>
      <c r="K86" s="9" t="s">
        <v>258</v>
      </c>
    </row>
    <row r="87" spans="1:17" x14ac:dyDescent="0.3">
      <c r="A87" s="26">
        <v>86</v>
      </c>
      <c r="B87" s="27" t="s">
        <v>157</v>
      </c>
      <c r="C87" s="28" t="s">
        <v>174</v>
      </c>
      <c r="D87" s="30">
        <v>1059</v>
      </c>
      <c r="E87" s="29" t="s">
        <v>4</v>
      </c>
      <c r="F87" s="29" t="s">
        <v>16</v>
      </c>
      <c r="G87" s="27" t="s">
        <v>13</v>
      </c>
      <c r="H87" s="29">
        <v>4</v>
      </c>
      <c r="I87" s="8" t="s">
        <v>261</v>
      </c>
      <c r="J87" s="9" t="s">
        <v>258</v>
      </c>
      <c r="K87" s="9" t="s">
        <v>258</v>
      </c>
    </row>
    <row r="88" spans="1:17" x14ac:dyDescent="0.3">
      <c r="A88" s="26">
        <v>87</v>
      </c>
      <c r="B88" s="27" t="s">
        <v>8</v>
      </c>
      <c r="C88" s="28" t="s">
        <v>176</v>
      </c>
      <c r="D88" s="34" t="s">
        <v>177</v>
      </c>
      <c r="E88" s="29" t="s">
        <v>11</v>
      </c>
      <c r="F88" s="29" t="s">
        <v>12</v>
      </c>
      <c r="G88" s="27" t="s">
        <v>178</v>
      </c>
      <c r="H88" s="29">
        <v>2</v>
      </c>
      <c r="I88" s="70" t="s">
        <v>262</v>
      </c>
      <c r="J88" s="9" t="s">
        <v>258</v>
      </c>
      <c r="K88" s="9" t="s">
        <v>258</v>
      </c>
      <c r="Q88" s="58"/>
    </row>
    <row r="89" spans="1:17" x14ac:dyDescent="0.3">
      <c r="A89" s="26">
        <v>88</v>
      </c>
      <c r="B89" s="27" t="s">
        <v>8</v>
      </c>
      <c r="C89" s="28" t="s">
        <v>180</v>
      </c>
      <c r="D89" s="34" t="s">
        <v>181</v>
      </c>
      <c r="E89" s="29" t="s">
        <v>11</v>
      </c>
      <c r="F89" s="29" t="s">
        <v>12</v>
      </c>
      <c r="G89" s="27" t="s">
        <v>178</v>
      </c>
      <c r="H89" s="29">
        <v>2</v>
      </c>
      <c r="I89" s="70" t="s">
        <v>262</v>
      </c>
      <c r="J89" s="9" t="s">
        <v>258</v>
      </c>
      <c r="K89" s="9" t="s">
        <v>258</v>
      </c>
      <c r="Q89" s="58"/>
    </row>
    <row r="90" spans="1:17" x14ac:dyDescent="0.3">
      <c r="A90" s="26">
        <v>89</v>
      </c>
      <c r="B90" s="27" t="s">
        <v>8</v>
      </c>
      <c r="C90" s="28" t="s">
        <v>182</v>
      </c>
      <c r="D90" s="34" t="s">
        <v>183</v>
      </c>
      <c r="E90" s="29" t="s">
        <v>4</v>
      </c>
      <c r="F90" s="29" t="s">
        <v>16</v>
      </c>
      <c r="G90" s="27" t="s">
        <v>178</v>
      </c>
      <c r="H90" s="29">
        <v>4</v>
      </c>
      <c r="I90" s="70" t="s">
        <v>262</v>
      </c>
      <c r="J90" s="9" t="s">
        <v>258</v>
      </c>
      <c r="K90" s="9" t="s">
        <v>258</v>
      </c>
      <c r="Q90" s="58"/>
    </row>
    <row r="91" spans="1:17" x14ac:dyDescent="0.3">
      <c r="A91" s="26">
        <v>90</v>
      </c>
      <c r="B91" s="27" t="s">
        <v>8</v>
      </c>
      <c r="C91" s="28" t="s">
        <v>185</v>
      </c>
      <c r="D91" s="34" t="s">
        <v>186</v>
      </c>
      <c r="E91" s="29" t="s">
        <v>187</v>
      </c>
      <c r="F91" s="29" t="s">
        <v>188</v>
      </c>
      <c r="G91" s="27" t="s">
        <v>178</v>
      </c>
      <c r="H91" s="29">
        <v>3</v>
      </c>
      <c r="I91" s="68" t="s">
        <v>260</v>
      </c>
      <c r="J91" s="9" t="s">
        <v>258</v>
      </c>
      <c r="K91" s="9" t="s">
        <v>258</v>
      </c>
      <c r="Q91" s="58"/>
    </row>
    <row r="92" spans="1:17" x14ac:dyDescent="0.3">
      <c r="A92" s="26">
        <v>91</v>
      </c>
      <c r="B92" s="27" t="s">
        <v>8</v>
      </c>
      <c r="C92" s="28" t="s">
        <v>189</v>
      </c>
      <c r="D92" s="34" t="s">
        <v>190</v>
      </c>
      <c r="E92" s="29" t="s">
        <v>187</v>
      </c>
      <c r="F92" s="29" t="s">
        <v>188</v>
      </c>
      <c r="G92" s="27" t="s">
        <v>178</v>
      </c>
      <c r="H92" s="29">
        <v>4</v>
      </c>
      <c r="I92" s="68" t="s">
        <v>260</v>
      </c>
      <c r="J92" s="9" t="s">
        <v>258</v>
      </c>
      <c r="K92" s="9" t="s">
        <v>258</v>
      </c>
      <c r="Q92" s="58"/>
    </row>
    <row r="93" spans="1:17" x14ac:dyDescent="0.3">
      <c r="A93" s="26">
        <v>92</v>
      </c>
      <c r="B93" s="27" t="s">
        <v>8</v>
      </c>
      <c r="C93" s="28" t="s">
        <v>191</v>
      </c>
      <c r="D93" s="34" t="s">
        <v>192</v>
      </c>
      <c r="E93" s="29" t="s">
        <v>4</v>
      </c>
      <c r="F93" s="29" t="s">
        <v>16</v>
      </c>
      <c r="G93" s="27" t="s">
        <v>178</v>
      </c>
      <c r="H93" s="29">
        <v>4</v>
      </c>
      <c r="I93" s="70" t="s">
        <v>262</v>
      </c>
      <c r="J93" s="9" t="s">
        <v>258</v>
      </c>
      <c r="K93" s="9" t="s">
        <v>258</v>
      </c>
      <c r="Q93" s="58"/>
    </row>
    <row r="94" spans="1:17" x14ac:dyDescent="0.3">
      <c r="A94" s="26">
        <v>93</v>
      </c>
      <c r="B94" s="27" t="s">
        <v>8</v>
      </c>
      <c r="C94" s="28" t="s">
        <v>193</v>
      </c>
      <c r="D94" s="34" t="s">
        <v>194</v>
      </c>
      <c r="E94" s="29" t="s">
        <v>4</v>
      </c>
      <c r="F94" s="29" t="s">
        <v>16</v>
      </c>
      <c r="G94" s="27" t="s">
        <v>178</v>
      </c>
      <c r="H94" s="29">
        <v>3</v>
      </c>
      <c r="I94" s="70" t="s">
        <v>262</v>
      </c>
      <c r="J94" s="9" t="s">
        <v>258</v>
      </c>
      <c r="K94" s="9" t="s">
        <v>258</v>
      </c>
      <c r="Q94" s="59"/>
    </row>
    <row r="95" spans="1:17" x14ac:dyDescent="0.3">
      <c r="A95" s="26">
        <v>94</v>
      </c>
      <c r="B95" s="27" t="s">
        <v>8</v>
      </c>
      <c r="C95" s="28" t="s">
        <v>195</v>
      </c>
      <c r="D95" s="34" t="s">
        <v>196</v>
      </c>
      <c r="E95" s="29" t="s">
        <v>4</v>
      </c>
      <c r="F95" s="29" t="s">
        <v>16</v>
      </c>
      <c r="G95" s="27" t="s">
        <v>178</v>
      </c>
      <c r="H95" s="29">
        <v>4</v>
      </c>
      <c r="I95" s="70" t="s">
        <v>262</v>
      </c>
      <c r="J95" s="9" t="s">
        <v>258</v>
      </c>
      <c r="K95" s="9" t="s">
        <v>258</v>
      </c>
      <c r="Q95" s="59"/>
    </row>
    <row r="96" spans="1:17" x14ac:dyDescent="0.3">
      <c r="A96" s="26">
        <v>95</v>
      </c>
      <c r="B96" s="27" t="s">
        <v>8</v>
      </c>
      <c r="C96" s="28" t="s">
        <v>197</v>
      </c>
      <c r="D96" s="34" t="s">
        <v>198</v>
      </c>
      <c r="E96" s="29" t="s">
        <v>4</v>
      </c>
      <c r="F96" s="29" t="s">
        <v>16</v>
      </c>
      <c r="G96" s="27" t="s">
        <v>178</v>
      </c>
      <c r="H96" s="29">
        <v>3</v>
      </c>
      <c r="I96" s="70" t="s">
        <v>262</v>
      </c>
      <c r="J96" s="9" t="s">
        <v>258</v>
      </c>
      <c r="K96" s="9" t="s">
        <v>258</v>
      </c>
      <c r="Q96" s="59"/>
    </row>
    <row r="97" spans="1:17" x14ac:dyDescent="0.3">
      <c r="A97" s="26">
        <v>96</v>
      </c>
      <c r="B97" s="27" t="s">
        <v>8</v>
      </c>
      <c r="C97" s="28" t="s">
        <v>199</v>
      </c>
      <c r="D97" s="34" t="s">
        <v>200</v>
      </c>
      <c r="E97" s="29" t="s">
        <v>4</v>
      </c>
      <c r="F97" s="29" t="s">
        <v>16</v>
      </c>
      <c r="G97" s="27" t="s">
        <v>178</v>
      </c>
      <c r="H97" s="29">
        <v>2</v>
      </c>
      <c r="I97" s="70" t="s">
        <v>262</v>
      </c>
      <c r="J97" s="9" t="s">
        <v>258</v>
      </c>
      <c r="K97" s="9" t="s">
        <v>258</v>
      </c>
      <c r="Q97" s="58"/>
    </row>
    <row r="98" spans="1:17" x14ac:dyDescent="0.3">
      <c r="A98" s="26">
        <v>97</v>
      </c>
      <c r="B98" s="27" t="s">
        <v>8</v>
      </c>
      <c r="C98" s="28" t="s">
        <v>201</v>
      </c>
      <c r="D98" s="34" t="s">
        <v>202</v>
      </c>
      <c r="E98" s="29" t="s">
        <v>11</v>
      </c>
      <c r="F98" s="29" t="s">
        <v>12</v>
      </c>
      <c r="G98" s="27" t="s">
        <v>178</v>
      </c>
      <c r="H98" s="29">
        <v>3</v>
      </c>
      <c r="I98" s="68" t="s">
        <v>260</v>
      </c>
      <c r="J98" s="9" t="s">
        <v>258</v>
      </c>
      <c r="K98" s="9" t="s">
        <v>258</v>
      </c>
      <c r="Q98" s="59"/>
    </row>
    <row r="99" spans="1:17" x14ac:dyDescent="0.3">
      <c r="A99" s="26">
        <v>98</v>
      </c>
      <c r="B99" s="27" t="s">
        <v>8</v>
      </c>
      <c r="C99" s="28" t="s">
        <v>203</v>
      </c>
      <c r="D99" s="34" t="s">
        <v>204</v>
      </c>
      <c r="E99" s="29" t="s">
        <v>11</v>
      </c>
      <c r="F99" s="29" t="s">
        <v>12</v>
      </c>
      <c r="G99" s="27" t="s">
        <v>178</v>
      </c>
      <c r="H99" s="29">
        <v>2</v>
      </c>
      <c r="I99" s="68" t="s">
        <v>260</v>
      </c>
      <c r="J99" s="9" t="s">
        <v>258</v>
      </c>
      <c r="K99" s="9" t="s">
        <v>258</v>
      </c>
      <c r="Q99" s="58"/>
    </row>
    <row r="100" spans="1:17" x14ac:dyDescent="0.3">
      <c r="A100" s="26">
        <v>99</v>
      </c>
      <c r="B100" s="27" t="s">
        <v>8</v>
      </c>
      <c r="C100" s="28" t="s">
        <v>205</v>
      </c>
      <c r="D100" s="34" t="s">
        <v>206</v>
      </c>
      <c r="E100" s="29" t="s">
        <v>11</v>
      </c>
      <c r="F100" s="29" t="s">
        <v>12</v>
      </c>
      <c r="G100" s="27" t="s">
        <v>178</v>
      </c>
      <c r="H100" s="29">
        <v>2</v>
      </c>
      <c r="I100" s="68" t="s">
        <v>260</v>
      </c>
      <c r="J100" s="9" t="s">
        <v>258</v>
      </c>
      <c r="K100" s="9" t="s">
        <v>258</v>
      </c>
      <c r="Q100" s="58"/>
    </row>
    <row r="101" spans="1:17" x14ac:dyDescent="0.3">
      <c r="A101" s="26">
        <v>100</v>
      </c>
      <c r="B101" s="27" t="s">
        <v>8</v>
      </c>
      <c r="C101" s="28" t="s">
        <v>207</v>
      </c>
      <c r="D101" s="34" t="s">
        <v>208</v>
      </c>
      <c r="E101" s="29" t="s">
        <v>11</v>
      </c>
      <c r="F101" s="29" t="s">
        <v>12</v>
      </c>
      <c r="G101" s="27" t="s">
        <v>178</v>
      </c>
      <c r="H101" s="29">
        <v>3</v>
      </c>
      <c r="I101" s="68" t="s">
        <v>260</v>
      </c>
      <c r="J101" s="9" t="s">
        <v>258</v>
      </c>
      <c r="K101" s="9" t="s">
        <v>258</v>
      </c>
      <c r="Q101" s="58"/>
    </row>
    <row r="102" spans="1:17" x14ac:dyDescent="0.3">
      <c r="A102" s="26">
        <v>101</v>
      </c>
      <c r="B102" s="27" t="s">
        <v>157</v>
      </c>
      <c r="C102" s="28" t="s">
        <v>209</v>
      </c>
      <c r="D102" s="34">
        <v>19062</v>
      </c>
      <c r="E102" s="29" t="s">
        <v>11</v>
      </c>
      <c r="F102" s="29" t="s">
        <v>12</v>
      </c>
      <c r="G102" s="27" t="s">
        <v>178</v>
      </c>
      <c r="H102" s="29">
        <v>3</v>
      </c>
      <c r="I102" s="68" t="s">
        <v>260</v>
      </c>
      <c r="J102" s="9" t="s">
        <v>258</v>
      </c>
      <c r="K102" s="9" t="s">
        <v>258</v>
      </c>
      <c r="Q102" s="59"/>
    </row>
    <row r="103" spans="1:17" x14ac:dyDescent="0.3">
      <c r="A103" s="26">
        <v>102</v>
      </c>
      <c r="B103" s="27" t="s">
        <v>157</v>
      </c>
      <c r="C103" s="28" t="s">
        <v>210</v>
      </c>
      <c r="D103" s="34">
        <v>19055</v>
      </c>
      <c r="E103" s="29" t="s">
        <v>11</v>
      </c>
      <c r="F103" s="29" t="s">
        <v>12</v>
      </c>
      <c r="G103" s="27" t="s">
        <v>178</v>
      </c>
      <c r="H103" s="29">
        <v>2</v>
      </c>
      <c r="I103" s="68" t="s">
        <v>260</v>
      </c>
      <c r="J103" s="9" t="s">
        <v>258</v>
      </c>
      <c r="K103" s="9" t="s">
        <v>258</v>
      </c>
    </row>
    <row r="104" spans="1:17" x14ac:dyDescent="0.3">
      <c r="A104" s="26">
        <v>103</v>
      </c>
      <c r="B104" s="27" t="s">
        <v>157</v>
      </c>
      <c r="C104" s="28" t="s">
        <v>211</v>
      </c>
      <c r="D104" s="34">
        <v>19015</v>
      </c>
      <c r="E104" s="29" t="s">
        <v>11</v>
      </c>
      <c r="F104" s="29" t="s">
        <v>12</v>
      </c>
      <c r="G104" s="27" t="s">
        <v>178</v>
      </c>
      <c r="H104" s="29">
        <v>4</v>
      </c>
      <c r="I104" s="68" t="s">
        <v>260</v>
      </c>
      <c r="J104" s="9" t="s">
        <v>258</v>
      </c>
      <c r="K104" s="9" t="s">
        <v>258</v>
      </c>
    </row>
    <row r="105" spans="1:17" x14ac:dyDescent="0.3">
      <c r="A105" s="26">
        <v>104</v>
      </c>
      <c r="B105" s="27" t="s">
        <v>157</v>
      </c>
      <c r="C105" s="28" t="s">
        <v>212</v>
      </c>
      <c r="D105" s="34">
        <v>19017</v>
      </c>
      <c r="E105" s="29" t="s">
        <v>11</v>
      </c>
      <c r="F105" s="29" t="s">
        <v>12</v>
      </c>
      <c r="G105" s="27" t="s">
        <v>178</v>
      </c>
      <c r="H105" s="29">
        <v>4</v>
      </c>
      <c r="I105" s="68" t="s">
        <v>260</v>
      </c>
      <c r="J105" s="9" t="s">
        <v>258</v>
      </c>
      <c r="K105" s="9" t="s">
        <v>258</v>
      </c>
    </row>
    <row r="106" spans="1:17" x14ac:dyDescent="0.3">
      <c r="A106" s="26">
        <v>105</v>
      </c>
      <c r="B106" s="27" t="s">
        <v>157</v>
      </c>
      <c r="C106" s="28" t="s">
        <v>213</v>
      </c>
      <c r="D106" s="34">
        <v>19006</v>
      </c>
      <c r="E106" s="29" t="s">
        <v>11</v>
      </c>
      <c r="F106" s="29" t="s">
        <v>12</v>
      </c>
      <c r="G106" s="27" t="s">
        <v>178</v>
      </c>
      <c r="H106" s="29">
        <v>4</v>
      </c>
      <c r="I106" s="68" t="s">
        <v>260</v>
      </c>
      <c r="J106" s="9" t="s">
        <v>258</v>
      </c>
      <c r="K106" s="9" t="s">
        <v>258</v>
      </c>
    </row>
    <row r="107" spans="1:17" x14ac:dyDescent="0.3">
      <c r="A107" s="26">
        <v>106</v>
      </c>
      <c r="B107" s="27" t="s">
        <v>157</v>
      </c>
      <c r="C107" s="28" t="s">
        <v>214</v>
      </c>
      <c r="D107" s="34">
        <v>18038</v>
      </c>
      <c r="E107" s="29" t="s">
        <v>11</v>
      </c>
      <c r="F107" s="29" t="s">
        <v>12</v>
      </c>
      <c r="G107" s="27" t="s">
        <v>178</v>
      </c>
      <c r="H107" s="29">
        <v>3</v>
      </c>
      <c r="I107" s="68" t="s">
        <v>260</v>
      </c>
      <c r="J107" s="9" t="s">
        <v>258</v>
      </c>
      <c r="K107" s="9" t="s">
        <v>258</v>
      </c>
    </row>
    <row r="108" spans="1:17" x14ac:dyDescent="0.3">
      <c r="A108" s="26">
        <v>107</v>
      </c>
      <c r="B108" s="27" t="s">
        <v>157</v>
      </c>
      <c r="C108" s="28" t="s">
        <v>215</v>
      </c>
      <c r="D108" s="34">
        <v>18019</v>
      </c>
      <c r="E108" s="29" t="s">
        <v>11</v>
      </c>
      <c r="F108" s="29" t="s">
        <v>12</v>
      </c>
      <c r="G108" s="27" t="s">
        <v>178</v>
      </c>
      <c r="H108" s="29">
        <v>2</v>
      </c>
      <c r="I108" s="68" t="s">
        <v>260</v>
      </c>
      <c r="J108" s="9" t="s">
        <v>258</v>
      </c>
      <c r="K108" s="9" t="s">
        <v>258</v>
      </c>
    </row>
    <row r="109" spans="1:17" x14ac:dyDescent="0.3">
      <c r="A109" s="26">
        <v>108</v>
      </c>
      <c r="B109" s="27" t="s">
        <v>157</v>
      </c>
      <c r="C109" s="28" t="s">
        <v>216</v>
      </c>
      <c r="D109" s="34">
        <v>19028</v>
      </c>
      <c r="E109" s="29" t="s">
        <v>11</v>
      </c>
      <c r="F109" s="29" t="s">
        <v>12</v>
      </c>
      <c r="G109" s="27" t="s">
        <v>178</v>
      </c>
      <c r="H109" s="29">
        <v>3</v>
      </c>
      <c r="I109" s="68" t="s">
        <v>260</v>
      </c>
      <c r="J109" s="9" t="s">
        <v>258</v>
      </c>
      <c r="K109" s="9" t="s">
        <v>258</v>
      </c>
    </row>
    <row r="110" spans="1:17" x14ac:dyDescent="0.3">
      <c r="A110" s="26">
        <v>109</v>
      </c>
      <c r="B110" s="27" t="s">
        <v>157</v>
      </c>
      <c r="C110" s="28" t="s">
        <v>217</v>
      </c>
      <c r="D110" s="34">
        <v>19029</v>
      </c>
      <c r="E110" s="29" t="s">
        <v>11</v>
      </c>
      <c r="F110" s="29" t="s">
        <v>12</v>
      </c>
      <c r="G110" s="27" t="s">
        <v>178</v>
      </c>
      <c r="H110" s="29">
        <v>4</v>
      </c>
      <c r="I110" s="68" t="s">
        <v>260</v>
      </c>
      <c r="J110" s="9" t="s">
        <v>258</v>
      </c>
      <c r="K110" s="9" t="s">
        <v>258</v>
      </c>
    </row>
    <row r="111" spans="1:17" x14ac:dyDescent="0.3">
      <c r="A111" s="26">
        <v>110</v>
      </c>
      <c r="B111" s="27" t="s">
        <v>157</v>
      </c>
      <c r="C111" s="28" t="s">
        <v>218</v>
      </c>
      <c r="D111" s="34">
        <v>1023</v>
      </c>
      <c r="E111" s="29" t="s">
        <v>4</v>
      </c>
      <c r="F111" s="29" t="s">
        <v>16</v>
      </c>
      <c r="G111" s="27" t="s">
        <v>178</v>
      </c>
      <c r="H111" s="29">
        <v>3</v>
      </c>
      <c r="I111" s="68" t="s">
        <v>260</v>
      </c>
      <c r="J111" s="9" t="s">
        <v>258</v>
      </c>
      <c r="K111" s="9" t="s">
        <v>258</v>
      </c>
    </row>
    <row r="112" spans="1:17" x14ac:dyDescent="0.3">
      <c r="A112" s="26">
        <v>111</v>
      </c>
      <c r="B112" s="27" t="s">
        <v>157</v>
      </c>
      <c r="C112" s="28" t="s">
        <v>219</v>
      </c>
      <c r="D112" s="34">
        <v>1024</v>
      </c>
      <c r="E112" s="29" t="s">
        <v>4</v>
      </c>
      <c r="F112" s="29" t="s">
        <v>16</v>
      </c>
      <c r="G112" s="27" t="s">
        <v>178</v>
      </c>
      <c r="H112" s="29">
        <v>4</v>
      </c>
      <c r="I112" s="68" t="s">
        <v>260</v>
      </c>
      <c r="J112" s="9" t="s">
        <v>258</v>
      </c>
      <c r="K112" s="9" t="s">
        <v>258</v>
      </c>
    </row>
    <row r="113" spans="1:11" x14ac:dyDescent="0.3">
      <c r="A113" s="51">
        <v>112</v>
      </c>
      <c r="B113" s="23" t="s">
        <v>157</v>
      </c>
      <c r="C113" s="24" t="s">
        <v>221</v>
      </c>
      <c r="D113" s="52">
        <v>15014</v>
      </c>
      <c r="E113" s="17" t="s">
        <v>11</v>
      </c>
      <c r="F113" s="17" t="s">
        <v>12</v>
      </c>
      <c r="G113" s="23" t="s">
        <v>178</v>
      </c>
      <c r="H113" s="17">
        <v>3</v>
      </c>
      <c r="I113" s="68" t="s">
        <v>260</v>
      </c>
      <c r="J113" s="9" t="s">
        <v>258</v>
      </c>
      <c r="K113" s="9" t="s">
        <v>258</v>
      </c>
    </row>
    <row r="114" spans="1:11" x14ac:dyDescent="0.3">
      <c r="A114" s="51">
        <v>113</v>
      </c>
      <c r="B114" s="23" t="s">
        <v>157</v>
      </c>
      <c r="C114" s="24" t="s">
        <v>222</v>
      </c>
      <c r="D114" s="52">
        <v>1218</v>
      </c>
      <c r="E114" s="17" t="s">
        <v>11</v>
      </c>
      <c r="F114" s="17" t="s">
        <v>12</v>
      </c>
      <c r="G114" s="23" t="s">
        <v>178</v>
      </c>
      <c r="H114" s="17">
        <v>4</v>
      </c>
      <c r="I114" s="68" t="s">
        <v>260</v>
      </c>
      <c r="J114" s="9" t="s">
        <v>258</v>
      </c>
      <c r="K114" s="9" t="s">
        <v>258</v>
      </c>
    </row>
    <row r="115" spans="1:11" x14ac:dyDescent="0.3">
      <c r="A115" s="51">
        <v>114</v>
      </c>
      <c r="B115" s="23" t="s">
        <v>157</v>
      </c>
      <c r="C115" s="24" t="s">
        <v>223</v>
      </c>
      <c r="D115" s="52">
        <v>1104</v>
      </c>
      <c r="E115" s="17" t="s">
        <v>11</v>
      </c>
      <c r="F115" s="17" t="s">
        <v>12</v>
      </c>
      <c r="G115" s="23" t="s">
        <v>178</v>
      </c>
      <c r="H115" s="17">
        <v>4</v>
      </c>
      <c r="I115" s="68" t="s">
        <v>260</v>
      </c>
      <c r="J115" s="9" t="s">
        <v>258</v>
      </c>
      <c r="K115" s="9" t="s">
        <v>258</v>
      </c>
    </row>
    <row r="116" spans="1:11" x14ac:dyDescent="0.3">
      <c r="A116" s="51">
        <v>115</v>
      </c>
      <c r="B116" s="23" t="s">
        <v>157</v>
      </c>
      <c r="C116" s="24" t="s">
        <v>224</v>
      </c>
      <c r="D116" s="52">
        <v>1093</v>
      </c>
      <c r="E116" s="17" t="s">
        <v>11</v>
      </c>
      <c r="F116" s="17" t="s">
        <v>12</v>
      </c>
      <c r="G116" s="23" t="s">
        <v>178</v>
      </c>
      <c r="H116" s="17">
        <v>3</v>
      </c>
      <c r="I116" s="68" t="s">
        <v>260</v>
      </c>
      <c r="J116" s="9" t="s">
        <v>258</v>
      </c>
      <c r="K116" s="9" t="s">
        <v>258</v>
      </c>
    </row>
    <row r="117" spans="1:11" x14ac:dyDescent="0.3">
      <c r="A117" s="51">
        <v>116</v>
      </c>
      <c r="B117" s="23" t="s">
        <v>157</v>
      </c>
      <c r="C117" s="24" t="s">
        <v>225</v>
      </c>
      <c r="D117" s="52">
        <v>1044</v>
      </c>
      <c r="E117" s="17" t="s">
        <v>11</v>
      </c>
      <c r="F117" s="17" t="s">
        <v>12</v>
      </c>
      <c r="G117" s="23" t="s">
        <v>178</v>
      </c>
      <c r="H117" s="17">
        <v>4</v>
      </c>
      <c r="I117" s="68" t="s">
        <v>260</v>
      </c>
      <c r="J117" s="9" t="s">
        <v>258</v>
      </c>
      <c r="K117" s="9" t="s">
        <v>258</v>
      </c>
    </row>
    <row r="118" spans="1:11" x14ac:dyDescent="0.3">
      <c r="A118" s="51">
        <v>117</v>
      </c>
      <c r="B118" s="23" t="s">
        <v>157</v>
      </c>
      <c r="C118" s="24" t="s">
        <v>226</v>
      </c>
      <c r="D118" s="52">
        <v>1003</v>
      </c>
      <c r="E118" s="17" t="s">
        <v>4</v>
      </c>
      <c r="F118" s="17" t="s">
        <v>16</v>
      </c>
      <c r="G118" s="23" t="s">
        <v>178</v>
      </c>
      <c r="H118" s="17">
        <v>4</v>
      </c>
      <c r="I118" s="68" t="s">
        <v>260</v>
      </c>
      <c r="J118" s="9" t="s">
        <v>258</v>
      </c>
      <c r="K118" s="9" t="s">
        <v>258</v>
      </c>
    </row>
    <row r="119" spans="1:11" x14ac:dyDescent="0.3">
      <c r="A119" s="51">
        <v>118</v>
      </c>
      <c r="B119" s="23" t="s">
        <v>157</v>
      </c>
      <c r="C119" s="24" t="s">
        <v>227</v>
      </c>
      <c r="D119" s="52">
        <v>2092</v>
      </c>
      <c r="E119" s="17" t="s">
        <v>4</v>
      </c>
      <c r="F119" s="17" t="s">
        <v>16</v>
      </c>
      <c r="G119" s="23" t="s">
        <v>178</v>
      </c>
      <c r="H119" s="17">
        <v>4</v>
      </c>
      <c r="I119" s="68" t="s">
        <v>260</v>
      </c>
      <c r="J119" s="9" t="s">
        <v>258</v>
      </c>
      <c r="K119" s="9" t="s">
        <v>258</v>
      </c>
    </row>
    <row r="120" spans="1:11" x14ac:dyDescent="0.3">
      <c r="A120" s="51">
        <v>119</v>
      </c>
      <c r="B120" s="23" t="s">
        <v>157</v>
      </c>
      <c r="C120" s="24" t="s">
        <v>228</v>
      </c>
      <c r="D120" s="52">
        <v>16026</v>
      </c>
      <c r="E120" s="17" t="s">
        <v>11</v>
      </c>
      <c r="F120" s="17" t="s">
        <v>12</v>
      </c>
      <c r="G120" s="23" t="s">
        <v>178</v>
      </c>
      <c r="H120" s="17">
        <v>4</v>
      </c>
      <c r="I120" s="68" t="s">
        <v>260</v>
      </c>
      <c r="J120" s="9" t="s">
        <v>258</v>
      </c>
      <c r="K120" s="9" t="s">
        <v>258</v>
      </c>
    </row>
    <row r="121" spans="1:11" x14ac:dyDescent="0.3">
      <c r="A121" s="51">
        <v>120</v>
      </c>
      <c r="B121" s="23" t="s">
        <v>157</v>
      </c>
      <c r="C121" s="24" t="s">
        <v>229</v>
      </c>
      <c r="D121" s="52">
        <v>16027</v>
      </c>
      <c r="E121" s="17" t="s">
        <v>11</v>
      </c>
      <c r="F121" s="17" t="s">
        <v>12</v>
      </c>
      <c r="G121" s="23" t="s">
        <v>178</v>
      </c>
      <c r="H121" s="17">
        <v>4</v>
      </c>
      <c r="I121" s="68" t="s">
        <v>260</v>
      </c>
      <c r="J121" s="9" t="s">
        <v>258</v>
      </c>
      <c r="K121" s="9" t="s">
        <v>258</v>
      </c>
    </row>
    <row r="122" spans="1:11" x14ac:dyDescent="0.3">
      <c r="A122" s="51">
        <v>121</v>
      </c>
      <c r="B122" s="23" t="s">
        <v>157</v>
      </c>
      <c r="C122" s="24" t="s">
        <v>230</v>
      </c>
      <c r="D122" s="52">
        <v>17114</v>
      </c>
      <c r="E122" s="17" t="s">
        <v>11</v>
      </c>
      <c r="F122" s="17" t="s">
        <v>12</v>
      </c>
      <c r="G122" s="23" t="s">
        <v>178</v>
      </c>
      <c r="H122" s="17">
        <v>3</v>
      </c>
      <c r="I122" s="68" t="s">
        <v>260</v>
      </c>
      <c r="J122" s="9" t="s">
        <v>258</v>
      </c>
      <c r="K122" s="9" t="s">
        <v>258</v>
      </c>
    </row>
    <row r="123" spans="1:11" x14ac:dyDescent="0.3">
      <c r="A123" s="51">
        <v>122</v>
      </c>
      <c r="B123" s="23" t="s">
        <v>157</v>
      </c>
      <c r="C123" s="24" t="s">
        <v>231</v>
      </c>
      <c r="D123" s="52">
        <v>19013</v>
      </c>
      <c r="E123" s="17" t="s">
        <v>11</v>
      </c>
      <c r="F123" s="17" t="s">
        <v>12</v>
      </c>
      <c r="G123" s="23" t="s">
        <v>178</v>
      </c>
      <c r="H123" s="17">
        <v>3</v>
      </c>
      <c r="I123" s="68" t="s">
        <v>260</v>
      </c>
      <c r="J123" s="9" t="s">
        <v>258</v>
      </c>
      <c r="K123" s="9" t="s">
        <v>258</v>
      </c>
    </row>
    <row r="124" spans="1:11" ht="15" thickBot="1" x14ac:dyDescent="0.35">
      <c r="A124" s="51">
        <v>123</v>
      </c>
      <c r="B124" s="23" t="s">
        <v>157</v>
      </c>
      <c r="C124" s="24" t="s">
        <v>232</v>
      </c>
      <c r="D124" s="52">
        <v>19014</v>
      </c>
      <c r="E124" s="17" t="s">
        <v>11</v>
      </c>
      <c r="F124" s="17" t="s">
        <v>12</v>
      </c>
      <c r="G124" s="23" t="s">
        <v>178</v>
      </c>
      <c r="H124" s="17">
        <v>3</v>
      </c>
      <c r="I124" s="68" t="s">
        <v>260</v>
      </c>
      <c r="J124" s="9" t="s">
        <v>258</v>
      </c>
      <c r="K124" s="9" t="s">
        <v>258</v>
      </c>
    </row>
    <row r="125" spans="1:11" ht="15" thickBot="1" x14ac:dyDescent="0.35">
      <c r="H125" s="61">
        <f>SUM(H2:H124)</f>
        <v>424</v>
      </c>
    </row>
    <row r="126" spans="1:11" ht="15" thickBot="1" x14ac:dyDescent="0.35">
      <c r="B126" s="43"/>
      <c r="C126" s="46"/>
      <c r="H126" s="40">
        <v>1</v>
      </c>
    </row>
    <row r="127" spans="1:11" ht="15" thickBot="1" x14ac:dyDescent="0.35">
      <c r="B127" s="47">
        <f>+COUNTIF(B2:B124,C127)</f>
        <v>85</v>
      </c>
      <c r="C127" s="48" t="s">
        <v>8</v>
      </c>
      <c r="E127" s="42" t="s">
        <v>188</v>
      </c>
      <c r="F127" s="43">
        <f>+COUNTIF(F2:F124,E127)</f>
        <v>2</v>
      </c>
      <c r="H127" s="61">
        <f>+H125+H126</f>
        <v>425</v>
      </c>
    </row>
    <row r="128" spans="1:11" x14ac:dyDescent="0.3">
      <c r="B128" s="47">
        <f>+COUNTIF(B2:B124,C128)</f>
        <v>38</v>
      </c>
      <c r="C128" s="48" t="s">
        <v>157</v>
      </c>
      <c r="E128" s="42" t="s">
        <v>12</v>
      </c>
      <c r="F128" s="43">
        <f>+COUNTIF(F2:F124,E128)</f>
        <v>37</v>
      </c>
    </row>
    <row r="129" spans="1:8" x14ac:dyDescent="0.3">
      <c r="B129" s="47"/>
      <c r="C129" s="50" t="s">
        <v>233</v>
      </c>
      <c r="E129" s="42" t="s">
        <v>51</v>
      </c>
      <c r="F129" s="43">
        <f>+COUNTIF(F2:F124,E129)</f>
        <v>28</v>
      </c>
      <c r="H129" s="40"/>
    </row>
    <row r="130" spans="1:8" ht="15" thickBot="1" x14ac:dyDescent="0.35">
      <c r="A130" s="44"/>
      <c r="C130" s="50" t="s">
        <v>234</v>
      </c>
      <c r="E130" s="42" t="s">
        <v>16</v>
      </c>
      <c r="F130" s="43">
        <f>+COUNTIF(F2:F124,E130)</f>
        <v>56</v>
      </c>
    </row>
    <row r="131" spans="1:8" ht="15" thickBot="1" x14ac:dyDescent="0.35">
      <c r="B131" s="49">
        <f>SUBTOTAL(9,B126:B129)</f>
        <v>123</v>
      </c>
      <c r="E131" s="44"/>
      <c r="F131" s="45">
        <f>SUBTOTAL(9,F127:F130)</f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1B864-5FB4-4816-A1DB-B4759D70F2A3}">
  <dimension ref="A1:L106"/>
  <sheetViews>
    <sheetView topLeftCell="A73" zoomScale="70" zoomScaleNormal="70" workbookViewId="0">
      <selection activeCell="B2" sqref="B2:L98"/>
    </sheetView>
  </sheetViews>
  <sheetFormatPr defaultRowHeight="14.4" x14ac:dyDescent="0.3"/>
  <cols>
    <col min="1" max="1" width="6.5546875" style="36" bestFit="1" customWidth="1"/>
    <col min="2" max="2" width="10.88671875" style="37" customWidth="1"/>
    <col min="3" max="3" width="39.88671875" bestFit="1" customWidth="1"/>
    <col min="6" max="6" width="10.109375" bestFit="1" customWidth="1"/>
    <col min="7" max="7" width="8.88671875" style="38"/>
    <col min="8" max="8" width="10.21875" customWidth="1"/>
    <col min="9" max="9" width="10.44140625" customWidth="1"/>
    <col min="12" max="12" width="42.5546875" style="69" bestFit="1" customWidth="1"/>
  </cols>
  <sheetData>
    <row r="1" spans="1:12" ht="61.8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65" t="s">
        <v>252</v>
      </c>
      <c r="J1" s="6" t="s">
        <v>253</v>
      </c>
      <c r="K1" s="6" t="s">
        <v>254</v>
      </c>
      <c r="L1" s="66" t="s">
        <v>255</v>
      </c>
    </row>
    <row r="2" spans="1:12" x14ac:dyDescent="0.3">
      <c r="A2" s="8">
        <v>1</v>
      </c>
      <c r="B2" s="9" t="s">
        <v>8</v>
      </c>
      <c r="C2" s="10" t="s">
        <v>264</v>
      </c>
      <c r="D2" s="30" t="s">
        <v>265</v>
      </c>
      <c r="E2" s="12" t="s">
        <v>4</v>
      </c>
      <c r="F2" s="13" t="s">
        <v>16</v>
      </c>
      <c r="G2" s="9" t="s">
        <v>13</v>
      </c>
      <c r="H2" s="12">
        <v>3</v>
      </c>
      <c r="I2" s="67" t="s">
        <v>256</v>
      </c>
      <c r="J2" s="9" t="s">
        <v>257</v>
      </c>
      <c r="K2" s="9" t="s">
        <v>258</v>
      </c>
      <c r="L2" s="10" t="s">
        <v>259</v>
      </c>
    </row>
    <row r="3" spans="1:12" x14ac:dyDescent="0.3">
      <c r="A3" s="8">
        <v>2</v>
      </c>
      <c r="B3" s="9" t="s">
        <v>8</v>
      </c>
      <c r="C3" s="10" t="s">
        <v>266</v>
      </c>
      <c r="D3" s="30" t="s">
        <v>267</v>
      </c>
      <c r="E3" s="12" t="s">
        <v>4</v>
      </c>
      <c r="F3" s="12" t="s">
        <v>16</v>
      </c>
      <c r="G3" s="9" t="s">
        <v>13</v>
      </c>
      <c r="H3" s="12">
        <v>2</v>
      </c>
      <c r="I3" s="67" t="s">
        <v>256</v>
      </c>
      <c r="J3" s="9" t="s">
        <v>257</v>
      </c>
      <c r="K3" s="9" t="s">
        <v>258</v>
      </c>
      <c r="L3" s="10" t="s">
        <v>259</v>
      </c>
    </row>
    <row r="4" spans="1:12" x14ac:dyDescent="0.3">
      <c r="A4" s="8">
        <v>3</v>
      </c>
      <c r="B4" s="9" t="s">
        <v>8</v>
      </c>
      <c r="C4" s="10" t="s">
        <v>268</v>
      </c>
      <c r="D4" s="30" t="s">
        <v>269</v>
      </c>
      <c r="E4" s="12" t="s">
        <v>4</v>
      </c>
      <c r="F4" s="12" t="s">
        <v>16</v>
      </c>
      <c r="G4" s="9" t="s">
        <v>13</v>
      </c>
      <c r="H4" s="12">
        <v>3</v>
      </c>
      <c r="I4" s="68" t="s">
        <v>260</v>
      </c>
      <c r="J4" s="9" t="s">
        <v>258</v>
      </c>
      <c r="K4" s="9" t="s">
        <v>258</v>
      </c>
      <c r="L4" s="10"/>
    </row>
    <row r="5" spans="1:12" x14ac:dyDescent="0.3">
      <c r="A5" s="8">
        <v>4</v>
      </c>
      <c r="B5" s="9" t="s">
        <v>8</v>
      </c>
      <c r="C5" s="10" t="s">
        <v>270</v>
      </c>
      <c r="D5" s="30" t="s">
        <v>271</v>
      </c>
      <c r="E5" s="12" t="s">
        <v>4</v>
      </c>
      <c r="F5" s="12" t="s">
        <v>16</v>
      </c>
      <c r="G5" s="9" t="s">
        <v>13</v>
      </c>
      <c r="H5" s="12">
        <v>2</v>
      </c>
      <c r="I5" s="68" t="s">
        <v>260</v>
      </c>
      <c r="J5" s="9" t="s">
        <v>258</v>
      </c>
      <c r="K5" s="9" t="s">
        <v>258</v>
      </c>
      <c r="L5" s="10"/>
    </row>
    <row r="6" spans="1:12" x14ac:dyDescent="0.3">
      <c r="A6" s="8">
        <v>5</v>
      </c>
      <c r="B6" s="9" t="s">
        <v>8</v>
      </c>
      <c r="C6" s="10" t="s">
        <v>272</v>
      </c>
      <c r="D6" s="30" t="s">
        <v>273</v>
      </c>
      <c r="E6" s="12" t="s">
        <v>4</v>
      </c>
      <c r="F6" s="12" t="s">
        <v>16</v>
      </c>
      <c r="G6" s="9" t="s">
        <v>13</v>
      </c>
      <c r="H6" s="12">
        <v>4</v>
      </c>
      <c r="I6" s="68" t="s">
        <v>260</v>
      </c>
      <c r="J6" s="9" t="s">
        <v>258</v>
      </c>
      <c r="K6" s="9" t="s">
        <v>258</v>
      </c>
      <c r="L6" s="10"/>
    </row>
    <row r="7" spans="1:12" x14ac:dyDescent="0.3">
      <c r="A7" s="8">
        <v>6</v>
      </c>
      <c r="B7" s="9" t="s">
        <v>8</v>
      </c>
      <c r="C7" s="10" t="s">
        <v>274</v>
      </c>
      <c r="D7" s="30" t="s">
        <v>275</v>
      </c>
      <c r="E7" s="12" t="s">
        <v>4</v>
      </c>
      <c r="F7" s="13" t="s">
        <v>51</v>
      </c>
      <c r="G7" s="9" t="s">
        <v>13</v>
      </c>
      <c r="H7" s="15">
        <v>4</v>
      </c>
      <c r="I7" s="68" t="s">
        <v>260</v>
      </c>
      <c r="J7" s="9" t="s">
        <v>258</v>
      </c>
      <c r="K7" s="9" t="s">
        <v>258</v>
      </c>
      <c r="L7" s="10"/>
    </row>
    <row r="8" spans="1:12" x14ac:dyDescent="0.3">
      <c r="A8" s="8">
        <v>7</v>
      </c>
      <c r="B8" s="9" t="s">
        <v>8</v>
      </c>
      <c r="C8" s="10" t="s">
        <v>276</v>
      </c>
      <c r="D8" s="30" t="s">
        <v>277</v>
      </c>
      <c r="E8" s="12" t="s">
        <v>4</v>
      </c>
      <c r="F8" s="13" t="s">
        <v>51</v>
      </c>
      <c r="G8" s="9" t="s">
        <v>13</v>
      </c>
      <c r="H8" s="15">
        <v>2</v>
      </c>
      <c r="I8" s="68" t="s">
        <v>260</v>
      </c>
      <c r="J8" s="9" t="s">
        <v>258</v>
      </c>
      <c r="K8" s="9" t="s">
        <v>258</v>
      </c>
      <c r="L8" s="10"/>
    </row>
    <row r="9" spans="1:12" x14ac:dyDescent="0.3">
      <c r="A9" s="8">
        <v>8</v>
      </c>
      <c r="B9" s="9" t="s">
        <v>8</v>
      </c>
      <c r="C9" s="10" t="s">
        <v>278</v>
      </c>
      <c r="D9" s="30" t="s">
        <v>277</v>
      </c>
      <c r="E9" s="12" t="s">
        <v>4</v>
      </c>
      <c r="F9" s="12" t="s">
        <v>51</v>
      </c>
      <c r="G9" s="9" t="s">
        <v>13</v>
      </c>
      <c r="H9" s="12">
        <v>5</v>
      </c>
      <c r="I9" s="68" t="s">
        <v>260</v>
      </c>
      <c r="J9" s="9" t="s">
        <v>258</v>
      </c>
      <c r="K9" s="9" t="s">
        <v>258</v>
      </c>
      <c r="L9" s="10"/>
    </row>
    <row r="10" spans="1:12" x14ac:dyDescent="0.3">
      <c r="A10" s="8">
        <v>9</v>
      </c>
      <c r="B10" s="9" t="s">
        <v>8</v>
      </c>
      <c r="C10" s="10" t="s">
        <v>279</v>
      </c>
      <c r="D10" s="30" t="s">
        <v>280</v>
      </c>
      <c r="E10" s="12" t="s">
        <v>4</v>
      </c>
      <c r="F10" s="12" t="s">
        <v>51</v>
      </c>
      <c r="G10" s="9" t="s">
        <v>13</v>
      </c>
      <c r="H10" s="12">
        <v>4</v>
      </c>
      <c r="I10" s="68" t="s">
        <v>260</v>
      </c>
      <c r="J10" s="9" t="s">
        <v>258</v>
      </c>
      <c r="K10" s="9" t="s">
        <v>258</v>
      </c>
      <c r="L10" s="10"/>
    </row>
    <row r="11" spans="1:12" x14ac:dyDescent="0.3">
      <c r="A11" s="8">
        <v>10</v>
      </c>
      <c r="B11" s="9" t="s">
        <v>8</v>
      </c>
      <c r="C11" s="10" t="s">
        <v>281</v>
      </c>
      <c r="D11" s="30" t="s">
        <v>282</v>
      </c>
      <c r="E11" s="12" t="s">
        <v>4</v>
      </c>
      <c r="F11" s="12" t="s">
        <v>51</v>
      </c>
      <c r="G11" s="9" t="s">
        <v>13</v>
      </c>
      <c r="H11" s="12">
        <v>5</v>
      </c>
      <c r="I11" s="68" t="s">
        <v>260</v>
      </c>
      <c r="J11" s="9" t="s">
        <v>258</v>
      </c>
      <c r="K11" s="9" t="s">
        <v>258</v>
      </c>
      <c r="L11" s="10"/>
    </row>
    <row r="12" spans="1:12" x14ac:dyDescent="0.3">
      <c r="A12" s="8">
        <v>11</v>
      </c>
      <c r="B12" s="9" t="s">
        <v>8</v>
      </c>
      <c r="C12" s="10" t="s">
        <v>283</v>
      </c>
      <c r="D12" s="30" t="s">
        <v>284</v>
      </c>
      <c r="E12" s="12" t="s">
        <v>4</v>
      </c>
      <c r="F12" s="12" t="s">
        <v>51</v>
      </c>
      <c r="G12" s="9" t="s">
        <v>13</v>
      </c>
      <c r="H12" s="12">
        <v>3</v>
      </c>
      <c r="I12" s="68" t="s">
        <v>260</v>
      </c>
      <c r="J12" s="9" t="s">
        <v>258</v>
      </c>
      <c r="K12" s="9" t="s">
        <v>258</v>
      </c>
      <c r="L12" s="10"/>
    </row>
    <row r="13" spans="1:12" x14ac:dyDescent="0.3">
      <c r="A13" s="8">
        <v>12</v>
      </c>
      <c r="B13" s="9" t="s">
        <v>8</v>
      </c>
      <c r="C13" s="10" t="s">
        <v>285</v>
      </c>
      <c r="D13" s="30" t="s">
        <v>286</v>
      </c>
      <c r="E13" s="12" t="s">
        <v>4</v>
      </c>
      <c r="F13" s="12" t="s">
        <v>51</v>
      </c>
      <c r="G13" s="9" t="s">
        <v>13</v>
      </c>
      <c r="H13" s="12">
        <v>4</v>
      </c>
      <c r="I13" s="68" t="s">
        <v>260</v>
      </c>
      <c r="J13" s="9" t="s">
        <v>258</v>
      </c>
      <c r="K13" s="9" t="s">
        <v>258</v>
      </c>
      <c r="L13" s="10"/>
    </row>
    <row r="14" spans="1:12" x14ac:dyDescent="0.3">
      <c r="A14" s="8">
        <v>13</v>
      </c>
      <c r="B14" s="9" t="s">
        <v>8</v>
      </c>
      <c r="C14" s="10" t="s">
        <v>287</v>
      </c>
      <c r="D14" s="30" t="s">
        <v>288</v>
      </c>
      <c r="E14" s="12" t="s">
        <v>4</v>
      </c>
      <c r="F14" s="16" t="s">
        <v>16</v>
      </c>
      <c r="G14" s="9" t="s">
        <v>13</v>
      </c>
      <c r="H14" s="12">
        <v>4</v>
      </c>
      <c r="I14" s="68" t="s">
        <v>260</v>
      </c>
      <c r="J14" s="9" t="s">
        <v>258</v>
      </c>
      <c r="K14" s="9" t="s">
        <v>258</v>
      </c>
      <c r="L14" s="10"/>
    </row>
    <row r="15" spans="1:12" x14ac:dyDescent="0.3">
      <c r="A15" s="8">
        <v>14</v>
      </c>
      <c r="B15" s="9" t="s">
        <v>8</v>
      </c>
      <c r="C15" s="10" t="s">
        <v>289</v>
      </c>
      <c r="D15" s="30" t="s">
        <v>290</v>
      </c>
      <c r="E15" s="12" t="s">
        <v>4</v>
      </c>
      <c r="F15" s="16" t="s">
        <v>51</v>
      </c>
      <c r="G15" s="9" t="s">
        <v>13</v>
      </c>
      <c r="H15" s="12">
        <v>4</v>
      </c>
      <c r="I15" s="68" t="s">
        <v>260</v>
      </c>
      <c r="J15" s="9" t="s">
        <v>258</v>
      </c>
      <c r="K15" s="9" t="s">
        <v>258</v>
      </c>
      <c r="L15" s="10"/>
    </row>
    <row r="16" spans="1:12" x14ac:dyDescent="0.3">
      <c r="A16" s="8">
        <v>15</v>
      </c>
      <c r="B16" s="9" t="s">
        <v>8</v>
      </c>
      <c r="C16" s="10" t="s">
        <v>291</v>
      </c>
      <c r="D16" s="30" t="s">
        <v>292</v>
      </c>
      <c r="E16" s="12" t="s">
        <v>4</v>
      </c>
      <c r="F16" s="12" t="s">
        <v>51</v>
      </c>
      <c r="G16" s="9" t="s">
        <v>13</v>
      </c>
      <c r="H16" s="12">
        <v>4</v>
      </c>
      <c r="I16" s="68" t="s">
        <v>260</v>
      </c>
      <c r="J16" s="9" t="s">
        <v>258</v>
      </c>
      <c r="K16" s="9" t="s">
        <v>258</v>
      </c>
      <c r="L16" s="10"/>
    </row>
    <row r="17" spans="1:12" x14ac:dyDescent="0.3">
      <c r="A17" s="8">
        <v>16</v>
      </c>
      <c r="B17" s="9" t="s">
        <v>8</v>
      </c>
      <c r="C17" s="10" t="s">
        <v>293</v>
      </c>
      <c r="D17" s="30" t="s">
        <v>294</v>
      </c>
      <c r="E17" s="12" t="s">
        <v>4</v>
      </c>
      <c r="F17" s="12" t="s">
        <v>51</v>
      </c>
      <c r="G17" s="9" t="s">
        <v>13</v>
      </c>
      <c r="H17" s="12">
        <v>4</v>
      </c>
      <c r="I17" s="68" t="s">
        <v>260</v>
      </c>
      <c r="J17" s="9" t="s">
        <v>258</v>
      </c>
      <c r="K17" s="9" t="s">
        <v>258</v>
      </c>
      <c r="L17" s="10"/>
    </row>
    <row r="18" spans="1:12" x14ac:dyDescent="0.3">
      <c r="A18" s="8">
        <v>17</v>
      </c>
      <c r="B18" s="9" t="s">
        <v>8</v>
      </c>
      <c r="C18" s="10" t="s">
        <v>295</v>
      </c>
      <c r="D18" s="30" t="s">
        <v>296</v>
      </c>
      <c r="E18" s="12" t="s">
        <v>4</v>
      </c>
      <c r="F18" s="12" t="s">
        <v>51</v>
      </c>
      <c r="G18" s="9" t="s">
        <v>13</v>
      </c>
      <c r="H18" s="12">
        <v>3</v>
      </c>
      <c r="I18" s="68" t="s">
        <v>260</v>
      </c>
      <c r="J18" s="9" t="s">
        <v>258</v>
      </c>
      <c r="K18" s="9" t="s">
        <v>258</v>
      </c>
      <c r="L18" s="10"/>
    </row>
    <row r="19" spans="1:12" x14ac:dyDescent="0.3">
      <c r="A19" s="8">
        <v>18</v>
      </c>
      <c r="B19" s="9" t="s">
        <v>8</v>
      </c>
      <c r="C19" s="10" t="s">
        <v>297</v>
      </c>
      <c r="D19" s="30" t="s">
        <v>298</v>
      </c>
      <c r="E19" s="12" t="s">
        <v>4</v>
      </c>
      <c r="F19" s="12" t="s">
        <v>51</v>
      </c>
      <c r="G19" s="9" t="s">
        <v>13</v>
      </c>
      <c r="H19" s="12">
        <v>4</v>
      </c>
      <c r="I19" s="8" t="s">
        <v>261</v>
      </c>
      <c r="J19" s="9" t="s">
        <v>258</v>
      </c>
      <c r="K19" s="9" t="s">
        <v>258</v>
      </c>
      <c r="L19" s="10"/>
    </row>
    <row r="20" spans="1:12" x14ac:dyDescent="0.3">
      <c r="A20" s="8">
        <v>19</v>
      </c>
      <c r="B20" s="9" t="s">
        <v>8</v>
      </c>
      <c r="C20" s="10" t="s">
        <v>299</v>
      </c>
      <c r="D20" s="30" t="s">
        <v>300</v>
      </c>
      <c r="E20" s="12" t="s">
        <v>4</v>
      </c>
      <c r="F20" s="12" t="s">
        <v>51</v>
      </c>
      <c r="G20" s="9" t="s">
        <v>13</v>
      </c>
      <c r="H20" s="12">
        <v>4</v>
      </c>
      <c r="I20" s="8" t="s">
        <v>261</v>
      </c>
      <c r="J20" s="9" t="s">
        <v>258</v>
      </c>
      <c r="K20" s="9" t="s">
        <v>258</v>
      </c>
      <c r="L20" s="10"/>
    </row>
    <row r="21" spans="1:12" x14ac:dyDescent="0.3">
      <c r="A21" s="8">
        <v>20</v>
      </c>
      <c r="B21" s="9" t="s">
        <v>8</v>
      </c>
      <c r="C21" s="10" t="s">
        <v>301</v>
      </c>
      <c r="D21" s="30" t="s">
        <v>302</v>
      </c>
      <c r="E21" s="12" t="s">
        <v>4</v>
      </c>
      <c r="F21" s="12" t="s">
        <v>16</v>
      </c>
      <c r="G21" s="9" t="s">
        <v>13</v>
      </c>
      <c r="H21" s="12">
        <v>4</v>
      </c>
      <c r="I21" s="8" t="s">
        <v>261</v>
      </c>
      <c r="J21" s="9" t="s">
        <v>258</v>
      </c>
      <c r="K21" s="9" t="s">
        <v>258</v>
      </c>
      <c r="L21" s="10"/>
    </row>
    <row r="22" spans="1:12" x14ac:dyDescent="0.3">
      <c r="A22" s="8">
        <v>21</v>
      </c>
      <c r="B22" s="9" t="s">
        <v>8</v>
      </c>
      <c r="C22" s="10" t="s">
        <v>303</v>
      </c>
      <c r="D22" s="30" t="s">
        <v>304</v>
      </c>
      <c r="E22" s="12" t="s">
        <v>4</v>
      </c>
      <c r="F22" s="12" t="s">
        <v>16</v>
      </c>
      <c r="G22" s="9" t="s">
        <v>13</v>
      </c>
      <c r="H22" s="12">
        <v>4</v>
      </c>
      <c r="I22" s="8" t="s">
        <v>261</v>
      </c>
      <c r="J22" s="9" t="s">
        <v>258</v>
      </c>
      <c r="K22" s="9" t="s">
        <v>258</v>
      </c>
      <c r="L22" s="10"/>
    </row>
    <row r="23" spans="1:12" x14ac:dyDescent="0.3">
      <c r="A23" s="8">
        <v>22</v>
      </c>
      <c r="B23" s="9" t="s">
        <v>8</v>
      </c>
      <c r="C23" s="10" t="s">
        <v>305</v>
      </c>
      <c r="D23" s="30" t="s">
        <v>306</v>
      </c>
      <c r="E23" s="12" t="s">
        <v>4</v>
      </c>
      <c r="F23" s="12" t="s">
        <v>16</v>
      </c>
      <c r="G23" s="9" t="s">
        <v>13</v>
      </c>
      <c r="H23" s="12">
        <v>4</v>
      </c>
      <c r="I23" s="8" t="s">
        <v>261</v>
      </c>
      <c r="J23" s="9" t="s">
        <v>258</v>
      </c>
      <c r="K23" s="9" t="s">
        <v>258</v>
      </c>
      <c r="L23" s="10"/>
    </row>
    <row r="24" spans="1:12" x14ac:dyDescent="0.3">
      <c r="A24" s="8">
        <v>23</v>
      </c>
      <c r="B24" s="9" t="s">
        <v>8</v>
      </c>
      <c r="C24" s="10" t="s">
        <v>307</v>
      </c>
      <c r="D24" s="30" t="s">
        <v>308</v>
      </c>
      <c r="E24" s="12" t="s">
        <v>4</v>
      </c>
      <c r="F24" s="12" t="s">
        <v>16</v>
      </c>
      <c r="G24" s="9" t="s">
        <v>13</v>
      </c>
      <c r="H24" s="12">
        <v>4</v>
      </c>
      <c r="I24" s="8" t="s">
        <v>261</v>
      </c>
      <c r="J24" s="9" t="s">
        <v>258</v>
      </c>
      <c r="K24" s="9" t="s">
        <v>258</v>
      </c>
      <c r="L24" s="10"/>
    </row>
    <row r="25" spans="1:12" x14ac:dyDescent="0.3">
      <c r="A25" s="8">
        <v>24</v>
      </c>
      <c r="B25" s="9" t="s">
        <v>8</v>
      </c>
      <c r="C25" s="10" t="s">
        <v>309</v>
      </c>
      <c r="D25" s="30" t="s">
        <v>310</v>
      </c>
      <c r="E25" s="12" t="s">
        <v>4</v>
      </c>
      <c r="F25" s="12" t="s">
        <v>16</v>
      </c>
      <c r="G25" s="9" t="s">
        <v>13</v>
      </c>
      <c r="H25" s="12">
        <v>4</v>
      </c>
      <c r="I25" s="8" t="s">
        <v>261</v>
      </c>
      <c r="J25" s="9" t="s">
        <v>258</v>
      </c>
      <c r="K25" s="9" t="s">
        <v>258</v>
      </c>
      <c r="L25" s="10"/>
    </row>
    <row r="26" spans="1:12" x14ac:dyDescent="0.3">
      <c r="A26" s="8">
        <v>25</v>
      </c>
      <c r="B26" s="9" t="s">
        <v>8</v>
      </c>
      <c r="C26" s="10" t="s">
        <v>311</v>
      </c>
      <c r="D26" s="30" t="s">
        <v>312</v>
      </c>
      <c r="E26" s="12" t="s">
        <v>4</v>
      </c>
      <c r="F26" s="12" t="s">
        <v>16</v>
      </c>
      <c r="G26" s="9" t="s">
        <v>13</v>
      </c>
      <c r="H26" s="12">
        <v>3</v>
      </c>
      <c r="I26" s="8" t="s">
        <v>261</v>
      </c>
      <c r="J26" s="9" t="s">
        <v>258</v>
      </c>
      <c r="K26" s="9" t="s">
        <v>258</v>
      </c>
      <c r="L26" s="10"/>
    </row>
    <row r="27" spans="1:12" x14ac:dyDescent="0.3">
      <c r="A27" s="8">
        <v>26</v>
      </c>
      <c r="B27" s="9" t="s">
        <v>8</v>
      </c>
      <c r="C27" s="10" t="s">
        <v>313</v>
      </c>
      <c r="D27" s="30" t="s">
        <v>314</v>
      </c>
      <c r="E27" s="12" t="s">
        <v>4</v>
      </c>
      <c r="F27" s="12" t="s">
        <v>16</v>
      </c>
      <c r="G27" s="9" t="s">
        <v>13</v>
      </c>
      <c r="H27" s="12">
        <v>4</v>
      </c>
      <c r="I27" s="8" t="s">
        <v>261</v>
      </c>
      <c r="J27" s="9" t="s">
        <v>258</v>
      </c>
      <c r="K27" s="9" t="s">
        <v>258</v>
      </c>
      <c r="L27" s="10"/>
    </row>
    <row r="28" spans="1:12" x14ac:dyDescent="0.3">
      <c r="A28" s="8">
        <v>27</v>
      </c>
      <c r="B28" s="9" t="s">
        <v>8</v>
      </c>
      <c r="C28" s="10" t="s">
        <v>315</v>
      </c>
      <c r="D28" s="30" t="s">
        <v>316</v>
      </c>
      <c r="E28" s="12" t="s">
        <v>4</v>
      </c>
      <c r="F28" s="12" t="s">
        <v>16</v>
      </c>
      <c r="G28" s="9" t="s">
        <v>13</v>
      </c>
      <c r="H28" s="12">
        <v>4</v>
      </c>
      <c r="I28" s="8" t="s">
        <v>261</v>
      </c>
      <c r="J28" s="9" t="s">
        <v>258</v>
      </c>
      <c r="K28" s="9" t="s">
        <v>258</v>
      </c>
      <c r="L28" s="10"/>
    </row>
    <row r="29" spans="1:12" x14ac:dyDescent="0.3">
      <c r="A29" s="8">
        <v>28</v>
      </c>
      <c r="B29" s="9" t="s">
        <v>8</v>
      </c>
      <c r="C29" s="10" t="s">
        <v>317</v>
      </c>
      <c r="D29" s="30" t="s">
        <v>318</v>
      </c>
      <c r="E29" s="12" t="s">
        <v>4</v>
      </c>
      <c r="F29" s="12" t="s">
        <v>51</v>
      </c>
      <c r="G29" s="9" t="s">
        <v>13</v>
      </c>
      <c r="H29" s="12">
        <v>4</v>
      </c>
      <c r="I29" s="8" t="s">
        <v>261</v>
      </c>
      <c r="J29" s="9" t="s">
        <v>258</v>
      </c>
      <c r="K29" s="9" t="s">
        <v>258</v>
      </c>
      <c r="L29" s="10"/>
    </row>
    <row r="30" spans="1:12" x14ac:dyDescent="0.3">
      <c r="A30" s="8">
        <v>29</v>
      </c>
      <c r="B30" s="9" t="s">
        <v>8</v>
      </c>
      <c r="C30" s="10" t="s">
        <v>319</v>
      </c>
      <c r="D30" s="30" t="s">
        <v>320</v>
      </c>
      <c r="E30" s="12" t="s">
        <v>4</v>
      </c>
      <c r="F30" s="12" t="s">
        <v>51</v>
      </c>
      <c r="G30" s="9" t="s">
        <v>13</v>
      </c>
      <c r="H30" s="12">
        <v>3</v>
      </c>
      <c r="I30" s="8" t="s">
        <v>261</v>
      </c>
      <c r="J30" s="9" t="s">
        <v>258</v>
      </c>
      <c r="K30" s="9" t="s">
        <v>258</v>
      </c>
      <c r="L30" s="10"/>
    </row>
    <row r="31" spans="1:12" x14ac:dyDescent="0.3">
      <c r="A31" s="8">
        <v>30</v>
      </c>
      <c r="B31" s="9" t="s">
        <v>8</v>
      </c>
      <c r="C31" s="10" t="s">
        <v>321</v>
      </c>
      <c r="D31" s="30" t="s">
        <v>322</v>
      </c>
      <c r="E31" s="12" t="s">
        <v>4</v>
      </c>
      <c r="F31" s="12" t="s">
        <v>51</v>
      </c>
      <c r="G31" s="9" t="s">
        <v>13</v>
      </c>
      <c r="H31" s="12">
        <v>4</v>
      </c>
      <c r="I31" s="8" t="s">
        <v>261</v>
      </c>
      <c r="J31" s="9" t="s">
        <v>258</v>
      </c>
      <c r="K31" s="9" t="s">
        <v>258</v>
      </c>
      <c r="L31" s="10"/>
    </row>
    <row r="32" spans="1:12" x14ac:dyDescent="0.3">
      <c r="A32" s="8">
        <v>31</v>
      </c>
      <c r="B32" s="9" t="s">
        <v>8</v>
      </c>
      <c r="C32" s="10" t="s">
        <v>323</v>
      </c>
      <c r="D32" s="30" t="s">
        <v>324</v>
      </c>
      <c r="E32" s="12" t="s">
        <v>4</v>
      </c>
      <c r="F32" s="12" t="s">
        <v>51</v>
      </c>
      <c r="G32" s="9" t="s">
        <v>13</v>
      </c>
      <c r="H32" s="12">
        <v>3</v>
      </c>
      <c r="I32" s="8" t="s">
        <v>261</v>
      </c>
      <c r="J32" s="9" t="s">
        <v>258</v>
      </c>
      <c r="K32" s="9" t="s">
        <v>258</v>
      </c>
      <c r="L32" s="10"/>
    </row>
    <row r="33" spans="1:12" x14ac:dyDescent="0.3">
      <c r="A33" s="8">
        <v>32</v>
      </c>
      <c r="B33" s="9" t="s">
        <v>8</v>
      </c>
      <c r="C33" s="10" t="s">
        <v>325</v>
      </c>
      <c r="D33" s="30" t="s">
        <v>326</v>
      </c>
      <c r="E33" s="12" t="s">
        <v>4</v>
      </c>
      <c r="F33" s="12" t="s">
        <v>51</v>
      </c>
      <c r="G33" s="9" t="s">
        <v>13</v>
      </c>
      <c r="H33" s="15">
        <v>3</v>
      </c>
      <c r="I33" s="8" t="s">
        <v>261</v>
      </c>
      <c r="J33" s="9" t="s">
        <v>258</v>
      </c>
      <c r="K33" s="9" t="s">
        <v>258</v>
      </c>
      <c r="L33" s="10"/>
    </row>
    <row r="34" spans="1:12" x14ac:dyDescent="0.3">
      <c r="A34" s="8">
        <v>33</v>
      </c>
      <c r="B34" s="9" t="s">
        <v>8</v>
      </c>
      <c r="C34" s="10" t="s">
        <v>327</v>
      </c>
      <c r="D34" s="30" t="s">
        <v>328</v>
      </c>
      <c r="E34" s="12" t="s">
        <v>4</v>
      </c>
      <c r="F34" s="12" t="s">
        <v>51</v>
      </c>
      <c r="G34" s="9" t="s">
        <v>13</v>
      </c>
      <c r="H34" s="15">
        <v>3</v>
      </c>
      <c r="I34" s="8" t="s">
        <v>261</v>
      </c>
      <c r="J34" s="9" t="s">
        <v>258</v>
      </c>
      <c r="K34" s="9" t="s">
        <v>258</v>
      </c>
      <c r="L34" s="10"/>
    </row>
    <row r="35" spans="1:12" x14ac:dyDescent="0.3">
      <c r="A35" s="8">
        <v>34</v>
      </c>
      <c r="B35" s="9" t="s">
        <v>8</v>
      </c>
      <c r="C35" s="10" t="s">
        <v>329</v>
      </c>
      <c r="D35" s="30" t="s">
        <v>330</v>
      </c>
      <c r="E35" s="12" t="s">
        <v>4</v>
      </c>
      <c r="F35" s="12" t="s">
        <v>16</v>
      </c>
      <c r="G35" s="9" t="s">
        <v>13</v>
      </c>
      <c r="H35" s="15">
        <v>6</v>
      </c>
      <c r="I35" s="8" t="s">
        <v>261</v>
      </c>
      <c r="J35" s="9" t="s">
        <v>258</v>
      </c>
      <c r="K35" s="9" t="s">
        <v>258</v>
      </c>
      <c r="L35" s="10"/>
    </row>
    <row r="36" spans="1:12" x14ac:dyDescent="0.3">
      <c r="A36" s="8">
        <v>35</v>
      </c>
      <c r="B36" s="9" t="s">
        <v>8</v>
      </c>
      <c r="C36" s="10" t="s">
        <v>331</v>
      </c>
      <c r="D36" s="30" t="s">
        <v>332</v>
      </c>
      <c r="E36" s="12" t="s">
        <v>4</v>
      </c>
      <c r="F36" s="16" t="s">
        <v>51</v>
      </c>
      <c r="G36" s="9" t="s">
        <v>13</v>
      </c>
      <c r="H36" s="12">
        <v>4</v>
      </c>
      <c r="I36" s="8" t="s">
        <v>261</v>
      </c>
      <c r="J36" s="9" t="s">
        <v>258</v>
      </c>
      <c r="K36" s="9" t="s">
        <v>258</v>
      </c>
      <c r="L36" s="10"/>
    </row>
    <row r="37" spans="1:12" x14ac:dyDescent="0.3">
      <c r="A37" s="8">
        <v>36</v>
      </c>
      <c r="B37" s="9" t="s">
        <v>8</v>
      </c>
      <c r="C37" s="10" t="s">
        <v>333</v>
      </c>
      <c r="D37" s="30" t="s">
        <v>334</v>
      </c>
      <c r="E37" s="12" t="s">
        <v>11</v>
      </c>
      <c r="F37" s="16" t="s">
        <v>12</v>
      </c>
      <c r="G37" s="9" t="s">
        <v>13</v>
      </c>
      <c r="H37" s="12">
        <v>3</v>
      </c>
      <c r="I37" s="8" t="s">
        <v>261</v>
      </c>
      <c r="J37" s="9" t="s">
        <v>258</v>
      </c>
      <c r="K37" s="9" t="s">
        <v>258</v>
      </c>
      <c r="L37" s="10"/>
    </row>
    <row r="38" spans="1:12" x14ac:dyDescent="0.3">
      <c r="A38" s="8">
        <v>37</v>
      </c>
      <c r="B38" s="9" t="s">
        <v>8</v>
      </c>
      <c r="C38" s="10" t="s">
        <v>335</v>
      </c>
      <c r="D38" s="30" t="s">
        <v>336</v>
      </c>
      <c r="E38" s="12" t="s">
        <v>4</v>
      </c>
      <c r="F38" s="12" t="s">
        <v>16</v>
      </c>
      <c r="G38" s="9" t="s">
        <v>13</v>
      </c>
      <c r="H38" s="12">
        <v>4</v>
      </c>
      <c r="I38" s="8" t="s">
        <v>261</v>
      </c>
      <c r="J38" s="9" t="s">
        <v>258</v>
      </c>
      <c r="K38" s="9" t="s">
        <v>258</v>
      </c>
      <c r="L38" s="10"/>
    </row>
    <row r="39" spans="1:12" x14ac:dyDescent="0.3">
      <c r="A39" s="8">
        <v>38</v>
      </c>
      <c r="B39" s="9" t="s">
        <v>8</v>
      </c>
      <c r="C39" s="10" t="s">
        <v>337</v>
      </c>
      <c r="D39" s="30" t="s">
        <v>338</v>
      </c>
      <c r="E39" s="12" t="s">
        <v>4</v>
      </c>
      <c r="F39" s="12" t="s">
        <v>16</v>
      </c>
      <c r="G39" s="9" t="s">
        <v>13</v>
      </c>
      <c r="H39" s="12">
        <v>3</v>
      </c>
      <c r="I39" s="8" t="s">
        <v>261</v>
      </c>
      <c r="J39" s="9" t="s">
        <v>258</v>
      </c>
      <c r="K39" s="9" t="s">
        <v>258</v>
      </c>
      <c r="L39" s="10"/>
    </row>
    <row r="40" spans="1:12" x14ac:dyDescent="0.3">
      <c r="A40" s="8">
        <v>39</v>
      </c>
      <c r="B40" s="9" t="s">
        <v>8</v>
      </c>
      <c r="C40" s="10" t="s">
        <v>339</v>
      </c>
      <c r="D40" s="30" t="s">
        <v>340</v>
      </c>
      <c r="E40" s="12" t="s">
        <v>4</v>
      </c>
      <c r="F40" s="12" t="s">
        <v>16</v>
      </c>
      <c r="G40" s="9" t="s">
        <v>13</v>
      </c>
      <c r="H40" s="12">
        <v>3</v>
      </c>
      <c r="I40" s="8" t="s">
        <v>261</v>
      </c>
      <c r="J40" s="9" t="s">
        <v>258</v>
      </c>
      <c r="K40" s="9" t="s">
        <v>258</v>
      </c>
      <c r="L40" s="10"/>
    </row>
    <row r="41" spans="1:12" x14ac:dyDescent="0.3">
      <c r="A41" s="8">
        <v>40</v>
      </c>
      <c r="B41" s="9" t="s">
        <v>8</v>
      </c>
      <c r="C41" s="10" t="s">
        <v>341</v>
      </c>
      <c r="D41" s="30" t="s">
        <v>342</v>
      </c>
      <c r="E41" s="12" t="s">
        <v>4</v>
      </c>
      <c r="F41" s="12" t="s">
        <v>16</v>
      </c>
      <c r="G41" s="9" t="s">
        <v>13</v>
      </c>
      <c r="H41" s="12">
        <v>5</v>
      </c>
      <c r="I41" s="8" t="s">
        <v>261</v>
      </c>
      <c r="J41" s="9" t="s">
        <v>258</v>
      </c>
      <c r="K41" s="9" t="s">
        <v>258</v>
      </c>
      <c r="L41" s="10"/>
    </row>
    <row r="42" spans="1:12" x14ac:dyDescent="0.3">
      <c r="A42" s="8">
        <v>41</v>
      </c>
      <c r="B42" s="9" t="s">
        <v>8</v>
      </c>
      <c r="C42" s="10" t="s">
        <v>343</v>
      </c>
      <c r="D42" s="30" t="s">
        <v>344</v>
      </c>
      <c r="E42" s="12" t="s">
        <v>4</v>
      </c>
      <c r="F42" s="12" t="s">
        <v>16</v>
      </c>
      <c r="G42" s="9" t="s">
        <v>13</v>
      </c>
      <c r="H42" s="12">
        <v>4</v>
      </c>
      <c r="I42" s="8" t="s">
        <v>261</v>
      </c>
      <c r="J42" s="9" t="s">
        <v>258</v>
      </c>
      <c r="K42" s="9" t="s">
        <v>258</v>
      </c>
      <c r="L42" s="10"/>
    </row>
    <row r="43" spans="1:12" x14ac:dyDescent="0.3">
      <c r="A43" s="8">
        <v>42</v>
      </c>
      <c r="B43" s="9" t="s">
        <v>8</v>
      </c>
      <c r="C43" s="10" t="s">
        <v>345</v>
      </c>
      <c r="D43" s="30" t="s">
        <v>346</v>
      </c>
      <c r="E43" s="12" t="s">
        <v>4</v>
      </c>
      <c r="F43" s="12" t="s">
        <v>16</v>
      </c>
      <c r="G43" s="9" t="s">
        <v>13</v>
      </c>
      <c r="H43" s="12">
        <v>4</v>
      </c>
      <c r="I43" s="8" t="s">
        <v>261</v>
      </c>
      <c r="J43" s="9" t="s">
        <v>258</v>
      </c>
      <c r="K43" s="9" t="s">
        <v>258</v>
      </c>
      <c r="L43" s="10"/>
    </row>
    <row r="44" spans="1:12" x14ac:dyDescent="0.3">
      <c r="A44" s="8">
        <v>43</v>
      </c>
      <c r="B44" s="9" t="s">
        <v>8</v>
      </c>
      <c r="C44" s="10" t="s">
        <v>347</v>
      </c>
      <c r="D44" s="30" t="s">
        <v>348</v>
      </c>
      <c r="E44" s="12" t="s">
        <v>4</v>
      </c>
      <c r="F44" s="12" t="s">
        <v>16</v>
      </c>
      <c r="G44" s="9" t="s">
        <v>13</v>
      </c>
      <c r="H44" s="12">
        <v>4</v>
      </c>
      <c r="I44" s="8" t="s">
        <v>261</v>
      </c>
      <c r="J44" s="9" t="s">
        <v>258</v>
      </c>
      <c r="K44" s="9" t="s">
        <v>258</v>
      </c>
      <c r="L44" s="10"/>
    </row>
    <row r="45" spans="1:12" x14ac:dyDescent="0.3">
      <c r="A45" s="8">
        <v>44</v>
      </c>
      <c r="B45" s="9" t="s">
        <v>8</v>
      </c>
      <c r="C45" s="10" t="s">
        <v>349</v>
      </c>
      <c r="D45" s="30" t="s">
        <v>350</v>
      </c>
      <c r="E45" s="12" t="s">
        <v>4</v>
      </c>
      <c r="F45" s="12" t="s">
        <v>16</v>
      </c>
      <c r="G45" s="9" t="s">
        <v>13</v>
      </c>
      <c r="H45" s="12">
        <v>3</v>
      </c>
      <c r="I45" s="8" t="s">
        <v>261</v>
      </c>
      <c r="J45" s="9" t="s">
        <v>258</v>
      </c>
      <c r="K45" s="9" t="s">
        <v>258</v>
      </c>
      <c r="L45" s="10"/>
    </row>
    <row r="46" spans="1:12" x14ac:dyDescent="0.3">
      <c r="A46" s="8">
        <v>45</v>
      </c>
      <c r="B46" s="9" t="s">
        <v>8</v>
      </c>
      <c r="C46" s="10" t="s">
        <v>351</v>
      </c>
      <c r="D46" s="30" t="s">
        <v>352</v>
      </c>
      <c r="E46" s="12" t="s">
        <v>4</v>
      </c>
      <c r="F46" s="12" t="s">
        <v>16</v>
      </c>
      <c r="G46" s="9" t="s">
        <v>13</v>
      </c>
      <c r="H46" s="12">
        <v>3</v>
      </c>
      <c r="I46" s="8" t="s">
        <v>261</v>
      </c>
      <c r="J46" s="9" t="s">
        <v>258</v>
      </c>
      <c r="K46" s="9" t="s">
        <v>258</v>
      </c>
      <c r="L46" s="10"/>
    </row>
    <row r="47" spans="1:12" x14ac:dyDescent="0.3">
      <c r="A47" s="8">
        <v>46</v>
      </c>
      <c r="B47" s="9" t="s">
        <v>8</v>
      </c>
      <c r="C47" s="10" t="s">
        <v>353</v>
      </c>
      <c r="D47" s="30" t="s">
        <v>354</v>
      </c>
      <c r="E47" s="12" t="s">
        <v>4</v>
      </c>
      <c r="F47" s="12" t="s">
        <v>16</v>
      </c>
      <c r="G47" s="9" t="s">
        <v>13</v>
      </c>
      <c r="H47" s="12">
        <v>6</v>
      </c>
      <c r="I47" s="8" t="s">
        <v>261</v>
      </c>
      <c r="J47" s="9" t="s">
        <v>258</v>
      </c>
      <c r="K47" s="9" t="s">
        <v>258</v>
      </c>
      <c r="L47" s="10"/>
    </row>
    <row r="48" spans="1:12" x14ac:dyDescent="0.3">
      <c r="A48" s="8">
        <v>47</v>
      </c>
      <c r="B48" s="9" t="s">
        <v>8</v>
      </c>
      <c r="C48" s="10" t="s">
        <v>355</v>
      </c>
      <c r="D48" s="30" t="s">
        <v>356</v>
      </c>
      <c r="E48" s="12" t="s">
        <v>4</v>
      </c>
      <c r="F48" s="12" t="s">
        <v>16</v>
      </c>
      <c r="G48" s="9" t="s">
        <v>13</v>
      </c>
      <c r="H48" s="12">
        <v>4</v>
      </c>
      <c r="I48" s="8" t="s">
        <v>261</v>
      </c>
      <c r="J48" s="9" t="s">
        <v>258</v>
      </c>
      <c r="K48" s="9" t="s">
        <v>258</v>
      </c>
      <c r="L48" s="10"/>
    </row>
    <row r="49" spans="1:12" x14ac:dyDescent="0.3">
      <c r="A49" s="8">
        <v>48</v>
      </c>
      <c r="B49" s="9" t="s">
        <v>8</v>
      </c>
      <c r="C49" s="10" t="s">
        <v>357</v>
      </c>
      <c r="D49" s="30" t="s">
        <v>358</v>
      </c>
      <c r="E49" s="12" t="s">
        <v>4</v>
      </c>
      <c r="F49" s="12" t="s">
        <v>16</v>
      </c>
      <c r="G49" s="9" t="s">
        <v>13</v>
      </c>
      <c r="H49" s="12">
        <v>3</v>
      </c>
      <c r="I49" s="8" t="s">
        <v>261</v>
      </c>
      <c r="J49" s="9" t="s">
        <v>258</v>
      </c>
      <c r="K49" s="9" t="s">
        <v>258</v>
      </c>
      <c r="L49" s="10"/>
    </row>
    <row r="50" spans="1:12" x14ac:dyDescent="0.3">
      <c r="A50" s="8">
        <v>49</v>
      </c>
      <c r="B50" s="9" t="s">
        <v>8</v>
      </c>
      <c r="C50" s="10" t="s">
        <v>359</v>
      </c>
      <c r="D50" s="30" t="s">
        <v>360</v>
      </c>
      <c r="E50" s="12" t="s">
        <v>4</v>
      </c>
      <c r="F50" s="12" t="s">
        <v>16</v>
      </c>
      <c r="G50" s="9" t="s">
        <v>13</v>
      </c>
      <c r="H50" s="12">
        <v>3</v>
      </c>
      <c r="I50" s="8" t="s">
        <v>261</v>
      </c>
      <c r="J50" s="9" t="s">
        <v>258</v>
      </c>
      <c r="K50" s="9" t="s">
        <v>258</v>
      </c>
      <c r="L50" s="10"/>
    </row>
    <row r="51" spans="1:12" x14ac:dyDescent="0.3">
      <c r="A51" s="8">
        <v>50</v>
      </c>
      <c r="B51" s="9" t="s">
        <v>8</v>
      </c>
      <c r="C51" s="10" t="s">
        <v>361</v>
      </c>
      <c r="D51" s="30" t="s">
        <v>362</v>
      </c>
      <c r="E51" s="12" t="s">
        <v>4</v>
      </c>
      <c r="F51" s="12" t="s">
        <v>16</v>
      </c>
      <c r="G51" s="9" t="s">
        <v>13</v>
      </c>
      <c r="H51" s="12">
        <v>3</v>
      </c>
      <c r="I51" s="8" t="s">
        <v>261</v>
      </c>
      <c r="J51" s="9" t="s">
        <v>258</v>
      </c>
      <c r="K51" s="9" t="s">
        <v>258</v>
      </c>
      <c r="L51" s="10"/>
    </row>
    <row r="52" spans="1:12" x14ac:dyDescent="0.3">
      <c r="A52" s="8">
        <v>51</v>
      </c>
      <c r="B52" s="9" t="s">
        <v>8</v>
      </c>
      <c r="C52" s="10" t="s">
        <v>363</v>
      </c>
      <c r="D52" s="30" t="s">
        <v>364</v>
      </c>
      <c r="E52" s="12" t="s">
        <v>4</v>
      </c>
      <c r="F52" s="12" t="s">
        <v>16</v>
      </c>
      <c r="G52" s="9" t="s">
        <v>13</v>
      </c>
      <c r="H52" s="12">
        <v>4</v>
      </c>
      <c r="I52" s="8" t="s">
        <v>261</v>
      </c>
      <c r="J52" s="9" t="s">
        <v>258</v>
      </c>
      <c r="K52" s="9" t="s">
        <v>258</v>
      </c>
      <c r="L52" s="10"/>
    </row>
    <row r="53" spans="1:12" x14ac:dyDescent="0.3">
      <c r="A53" s="8">
        <v>52</v>
      </c>
      <c r="B53" s="9" t="s">
        <v>157</v>
      </c>
      <c r="C53" s="10" t="s">
        <v>365</v>
      </c>
      <c r="D53" s="30">
        <v>3097</v>
      </c>
      <c r="E53" s="12" t="s">
        <v>4</v>
      </c>
      <c r="F53" s="12" t="s">
        <v>16</v>
      </c>
      <c r="G53" s="9" t="s">
        <v>13</v>
      </c>
      <c r="H53" s="12">
        <v>2</v>
      </c>
      <c r="I53" s="8" t="s">
        <v>261</v>
      </c>
      <c r="J53" s="9" t="s">
        <v>258</v>
      </c>
      <c r="K53" s="9" t="s">
        <v>258</v>
      </c>
      <c r="L53" s="10"/>
    </row>
    <row r="54" spans="1:12" x14ac:dyDescent="0.3">
      <c r="A54" s="8">
        <v>53</v>
      </c>
      <c r="B54" s="9" t="s">
        <v>157</v>
      </c>
      <c r="C54" s="10" t="s">
        <v>366</v>
      </c>
      <c r="D54" s="30">
        <v>4123</v>
      </c>
      <c r="E54" s="12" t="s">
        <v>4</v>
      </c>
      <c r="F54" s="16" t="s">
        <v>16</v>
      </c>
      <c r="G54" s="9" t="s">
        <v>13</v>
      </c>
      <c r="H54" s="12">
        <v>4</v>
      </c>
      <c r="I54" s="8" t="s">
        <v>261</v>
      </c>
      <c r="J54" s="9" t="s">
        <v>258</v>
      </c>
      <c r="K54" s="9" t="s">
        <v>258</v>
      </c>
      <c r="L54" s="10"/>
    </row>
    <row r="55" spans="1:12" x14ac:dyDescent="0.3">
      <c r="A55" s="8">
        <v>54</v>
      </c>
      <c r="B55" s="9" t="s">
        <v>157</v>
      </c>
      <c r="C55" s="10" t="s">
        <v>367</v>
      </c>
      <c r="D55" s="30">
        <v>4124</v>
      </c>
      <c r="E55" s="12" t="s">
        <v>4</v>
      </c>
      <c r="F55" s="12" t="s">
        <v>16</v>
      </c>
      <c r="G55" s="9" t="s">
        <v>13</v>
      </c>
      <c r="H55" s="12">
        <v>3</v>
      </c>
      <c r="I55" s="67" t="s">
        <v>256</v>
      </c>
      <c r="J55" s="9" t="s">
        <v>258</v>
      </c>
      <c r="K55" s="9" t="s">
        <v>258</v>
      </c>
      <c r="L55" s="10"/>
    </row>
    <row r="56" spans="1:12" x14ac:dyDescent="0.3">
      <c r="A56" s="8">
        <v>55</v>
      </c>
      <c r="B56" s="9" t="s">
        <v>157</v>
      </c>
      <c r="C56" s="10" t="s">
        <v>368</v>
      </c>
      <c r="D56" s="30">
        <v>4006</v>
      </c>
      <c r="E56" s="12" t="s">
        <v>4</v>
      </c>
      <c r="F56" s="12" t="s">
        <v>16</v>
      </c>
      <c r="G56" s="9" t="s">
        <v>13</v>
      </c>
      <c r="H56" s="18">
        <v>4</v>
      </c>
      <c r="I56" s="67" t="s">
        <v>256</v>
      </c>
      <c r="J56" s="9" t="s">
        <v>258</v>
      </c>
      <c r="K56" s="9" t="s">
        <v>258</v>
      </c>
      <c r="L56" s="10"/>
    </row>
    <row r="57" spans="1:12" x14ac:dyDescent="0.3">
      <c r="A57" s="8">
        <v>56</v>
      </c>
      <c r="B57" s="9" t="s">
        <v>157</v>
      </c>
      <c r="C57" s="10" t="s">
        <v>369</v>
      </c>
      <c r="D57" s="30">
        <v>2079</v>
      </c>
      <c r="E57" s="12" t="s">
        <v>4</v>
      </c>
      <c r="F57" s="12" t="s">
        <v>16</v>
      </c>
      <c r="G57" s="9" t="s">
        <v>13</v>
      </c>
      <c r="H57" s="18">
        <v>2</v>
      </c>
      <c r="I57" s="67" t="s">
        <v>256</v>
      </c>
      <c r="J57" s="9" t="s">
        <v>258</v>
      </c>
      <c r="K57" s="9" t="s">
        <v>258</v>
      </c>
      <c r="L57" s="10"/>
    </row>
    <row r="58" spans="1:12" x14ac:dyDescent="0.3">
      <c r="A58" s="8">
        <v>57</v>
      </c>
      <c r="B58" s="9" t="s">
        <v>157</v>
      </c>
      <c r="C58" s="10" t="s">
        <v>370</v>
      </c>
      <c r="D58" s="30">
        <v>2011</v>
      </c>
      <c r="E58" s="12" t="s">
        <v>4</v>
      </c>
      <c r="F58" s="12" t="s">
        <v>16</v>
      </c>
      <c r="G58" s="9" t="s">
        <v>13</v>
      </c>
      <c r="H58" s="18">
        <v>6</v>
      </c>
      <c r="I58" s="8" t="s">
        <v>261</v>
      </c>
      <c r="J58" s="9" t="s">
        <v>258</v>
      </c>
      <c r="K58" s="9" t="s">
        <v>258</v>
      </c>
      <c r="L58" s="10"/>
    </row>
    <row r="59" spans="1:12" x14ac:dyDescent="0.3">
      <c r="A59" s="8">
        <v>58</v>
      </c>
      <c r="B59" s="9" t="s">
        <v>157</v>
      </c>
      <c r="C59" s="10" t="s">
        <v>371</v>
      </c>
      <c r="D59" s="30">
        <v>4140</v>
      </c>
      <c r="E59" s="12" t="s">
        <v>4</v>
      </c>
      <c r="F59" s="12" t="s">
        <v>16</v>
      </c>
      <c r="G59" s="9" t="s">
        <v>13</v>
      </c>
      <c r="H59" s="18">
        <v>2</v>
      </c>
      <c r="I59" s="67" t="s">
        <v>256</v>
      </c>
      <c r="J59" s="9" t="s">
        <v>258</v>
      </c>
      <c r="K59" s="9" t="s">
        <v>258</v>
      </c>
      <c r="L59" s="10"/>
    </row>
    <row r="60" spans="1:12" x14ac:dyDescent="0.3">
      <c r="A60" s="8">
        <v>59</v>
      </c>
      <c r="B60" s="9" t="s">
        <v>157</v>
      </c>
      <c r="C60" s="10" t="s">
        <v>372</v>
      </c>
      <c r="D60" s="30">
        <v>5106</v>
      </c>
      <c r="E60" s="12" t="s">
        <v>4</v>
      </c>
      <c r="F60" s="12" t="s">
        <v>16</v>
      </c>
      <c r="G60" s="9" t="s">
        <v>13</v>
      </c>
      <c r="H60" s="18">
        <v>2</v>
      </c>
      <c r="I60" s="8" t="s">
        <v>261</v>
      </c>
      <c r="J60" s="9" t="s">
        <v>258</v>
      </c>
      <c r="K60" s="9" t="s">
        <v>258</v>
      </c>
      <c r="L60" s="10"/>
    </row>
    <row r="61" spans="1:12" x14ac:dyDescent="0.3">
      <c r="A61" s="8">
        <v>60</v>
      </c>
      <c r="B61" s="9" t="s">
        <v>157</v>
      </c>
      <c r="C61" s="10" t="s">
        <v>373</v>
      </c>
      <c r="D61" s="30">
        <v>2028</v>
      </c>
      <c r="E61" s="12" t="s">
        <v>11</v>
      </c>
      <c r="F61" s="12" t="s">
        <v>12</v>
      </c>
      <c r="G61" s="9" t="s">
        <v>13</v>
      </c>
      <c r="H61" s="18">
        <v>3</v>
      </c>
      <c r="I61" s="8" t="s">
        <v>261</v>
      </c>
      <c r="J61" s="9" t="s">
        <v>258</v>
      </c>
      <c r="K61" s="9" t="s">
        <v>258</v>
      </c>
      <c r="L61" s="10"/>
    </row>
    <row r="62" spans="1:12" x14ac:dyDescent="0.3">
      <c r="A62" s="8">
        <v>61</v>
      </c>
      <c r="B62" s="9" t="s">
        <v>157</v>
      </c>
      <c r="C62" s="10" t="s">
        <v>374</v>
      </c>
      <c r="D62" s="30">
        <v>2029</v>
      </c>
      <c r="E62" s="12" t="s">
        <v>11</v>
      </c>
      <c r="F62" s="12" t="s">
        <v>12</v>
      </c>
      <c r="G62" s="9" t="s">
        <v>13</v>
      </c>
      <c r="H62" s="19">
        <v>5</v>
      </c>
      <c r="I62" s="8" t="s">
        <v>261</v>
      </c>
      <c r="J62" s="9" t="s">
        <v>258</v>
      </c>
      <c r="K62" s="9" t="s">
        <v>258</v>
      </c>
      <c r="L62" s="10"/>
    </row>
    <row r="63" spans="1:12" x14ac:dyDescent="0.3">
      <c r="A63" s="8">
        <v>62</v>
      </c>
      <c r="B63" s="9" t="s">
        <v>157</v>
      </c>
      <c r="C63" s="10" t="s">
        <v>375</v>
      </c>
      <c r="D63" s="30">
        <v>2066</v>
      </c>
      <c r="E63" s="12" t="s">
        <v>11</v>
      </c>
      <c r="F63" s="12" t="s">
        <v>12</v>
      </c>
      <c r="G63" s="9" t="s">
        <v>13</v>
      </c>
      <c r="H63" s="20">
        <v>4</v>
      </c>
      <c r="I63" s="8" t="s">
        <v>261</v>
      </c>
      <c r="J63" s="9" t="s">
        <v>258</v>
      </c>
      <c r="K63" s="9" t="s">
        <v>258</v>
      </c>
      <c r="L63" s="10"/>
    </row>
    <row r="64" spans="1:12" x14ac:dyDescent="0.3">
      <c r="A64" s="8">
        <v>63</v>
      </c>
      <c r="B64" s="9" t="s">
        <v>157</v>
      </c>
      <c r="C64" s="10" t="s">
        <v>376</v>
      </c>
      <c r="D64" s="30">
        <v>2083</v>
      </c>
      <c r="E64" s="12" t="s">
        <v>11</v>
      </c>
      <c r="F64" s="12" t="s">
        <v>12</v>
      </c>
      <c r="G64" s="9" t="s">
        <v>13</v>
      </c>
      <c r="H64" s="20">
        <v>3</v>
      </c>
      <c r="I64" s="8" t="s">
        <v>261</v>
      </c>
      <c r="J64" s="9" t="s">
        <v>258</v>
      </c>
      <c r="K64" s="9" t="s">
        <v>258</v>
      </c>
      <c r="L64" s="10"/>
    </row>
    <row r="65" spans="1:12" x14ac:dyDescent="0.3">
      <c r="A65" s="8">
        <v>64</v>
      </c>
      <c r="B65" s="9" t="s">
        <v>157</v>
      </c>
      <c r="C65" s="10" t="s">
        <v>377</v>
      </c>
      <c r="D65" s="30">
        <v>4020</v>
      </c>
      <c r="E65" s="12" t="s">
        <v>11</v>
      </c>
      <c r="F65" s="12" t="s">
        <v>12</v>
      </c>
      <c r="G65" s="9" t="s">
        <v>13</v>
      </c>
      <c r="H65" s="12">
        <v>2</v>
      </c>
      <c r="I65" s="8" t="s">
        <v>261</v>
      </c>
      <c r="J65" s="9" t="s">
        <v>258</v>
      </c>
      <c r="K65" s="9" t="s">
        <v>258</v>
      </c>
      <c r="L65" s="10"/>
    </row>
    <row r="66" spans="1:12" x14ac:dyDescent="0.3">
      <c r="A66" s="8">
        <v>65</v>
      </c>
      <c r="B66" s="9" t="s">
        <v>157</v>
      </c>
      <c r="C66" s="10" t="s">
        <v>378</v>
      </c>
      <c r="D66" s="30">
        <v>6061</v>
      </c>
      <c r="E66" s="12" t="s">
        <v>11</v>
      </c>
      <c r="F66" s="12" t="s">
        <v>12</v>
      </c>
      <c r="G66" s="9" t="s">
        <v>13</v>
      </c>
      <c r="H66" s="12">
        <v>2</v>
      </c>
      <c r="I66" s="8" t="s">
        <v>261</v>
      </c>
      <c r="J66" s="9" t="s">
        <v>258</v>
      </c>
      <c r="K66" s="9" t="s">
        <v>258</v>
      </c>
      <c r="L66" s="10"/>
    </row>
    <row r="67" spans="1:12" x14ac:dyDescent="0.3">
      <c r="A67" s="8">
        <v>66</v>
      </c>
      <c r="B67" s="9" t="s">
        <v>157</v>
      </c>
      <c r="C67" s="10" t="s">
        <v>379</v>
      </c>
      <c r="D67" s="30">
        <v>7057</v>
      </c>
      <c r="E67" s="12" t="s">
        <v>4</v>
      </c>
      <c r="F67" s="13" t="s">
        <v>16</v>
      </c>
      <c r="G67" s="9" t="s">
        <v>13</v>
      </c>
      <c r="H67" s="15">
        <v>3</v>
      </c>
      <c r="I67" s="8" t="s">
        <v>261</v>
      </c>
      <c r="J67" s="9" t="s">
        <v>258</v>
      </c>
      <c r="K67" s="9" t="s">
        <v>258</v>
      </c>
      <c r="L67" s="10"/>
    </row>
    <row r="68" spans="1:12" x14ac:dyDescent="0.3">
      <c r="A68" s="8">
        <v>67</v>
      </c>
      <c r="B68" s="9" t="s">
        <v>157</v>
      </c>
      <c r="C68" s="10" t="s">
        <v>380</v>
      </c>
      <c r="D68" s="30">
        <v>7060</v>
      </c>
      <c r="E68" s="12" t="s">
        <v>4</v>
      </c>
      <c r="F68" s="13" t="s">
        <v>16</v>
      </c>
      <c r="G68" s="9" t="s">
        <v>13</v>
      </c>
      <c r="H68" s="15">
        <v>3</v>
      </c>
      <c r="I68" s="8" t="s">
        <v>261</v>
      </c>
      <c r="J68" s="9" t="s">
        <v>258</v>
      </c>
      <c r="K68" s="9" t="s">
        <v>258</v>
      </c>
      <c r="L68" s="10"/>
    </row>
    <row r="69" spans="1:12" x14ac:dyDescent="0.3">
      <c r="A69" s="8">
        <v>68</v>
      </c>
      <c r="B69" s="9" t="s">
        <v>157</v>
      </c>
      <c r="C69" s="10" t="s">
        <v>382</v>
      </c>
      <c r="D69" s="30">
        <v>9081</v>
      </c>
      <c r="E69" s="12" t="s">
        <v>11</v>
      </c>
      <c r="F69" s="13" t="s">
        <v>12</v>
      </c>
      <c r="G69" s="9" t="s">
        <v>13</v>
      </c>
      <c r="H69" s="15">
        <v>4</v>
      </c>
      <c r="I69" s="8" t="s">
        <v>261</v>
      </c>
      <c r="J69" s="9" t="s">
        <v>258</v>
      </c>
      <c r="K69" s="9" t="s">
        <v>258</v>
      </c>
    </row>
    <row r="70" spans="1:12" x14ac:dyDescent="0.3">
      <c r="A70" s="8">
        <v>69</v>
      </c>
      <c r="B70" s="9" t="s">
        <v>157</v>
      </c>
      <c r="C70" s="10" t="s">
        <v>383</v>
      </c>
      <c r="D70" s="30">
        <v>10099</v>
      </c>
      <c r="E70" s="12" t="s">
        <v>11</v>
      </c>
      <c r="F70" s="13" t="s">
        <v>12</v>
      </c>
      <c r="G70" s="9" t="s">
        <v>13</v>
      </c>
      <c r="H70" s="15">
        <v>3</v>
      </c>
      <c r="I70" s="8" t="s">
        <v>261</v>
      </c>
      <c r="J70" s="9" t="s">
        <v>258</v>
      </c>
      <c r="K70" s="9" t="s">
        <v>258</v>
      </c>
    </row>
    <row r="71" spans="1:12" x14ac:dyDescent="0.3">
      <c r="A71" s="76">
        <v>70</v>
      </c>
      <c r="B71" s="77" t="s">
        <v>8</v>
      </c>
      <c r="C71" s="78" t="s">
        <v>384</v>
      </c>
      <c r="D71" s="79" t="s">
        <v>385</v>
      </c>
      <c r="E71" s="80" t="s">
        <v>4</v>
      </c>
      <c r="F71" s="81" t="s">
        <v>16</v>
      </c>
      <c r="G71" s="77" t="s">
        <v>178</v>
      </c>
      <c r="H71" s="80">
        <v>3</v>
      </c>
      <c r="I71" s="68" t="s">
        <v>260</v>
      </c>
      <c r="J71" s="9" t="s">
        <v>258</v>
      </c>
      <c r="K71" s="9" t="s">
        <v>258</v>
      </c>
    </row>
    <row r="72" spans="1:12" x14ac:dyDescent="0.3">
      <c r="A72" s="76">
        <v>71</v>
      </c>
      <c r="B72" s="77" t="s">
        <v>8</v>
      </c>
      <c r="C72" s="78" t="s">
        <v>387</v>
      </c>
      <c r="D72" s="79" t="s">
        <v>388</v>
      </c>
      <c r="E72" s="81" t="s">
        <v>11</v>
      </c>
      <c r="F72" s="80" t="s">
        <v>12</v>
      </c>
      <c r="G72" s="77" t="s">
        <v>178</v>
      </c>
      <c r="H72" s="80">
        <v>3</v>
      </c>
      <c r="I72" s="70" t="s">
        <v>262</v>
      </c>
      <c r="J72" s="9" t="s">
        <v>258</v>
      </c>
      <c r="K72" s="9" t="s">
        <v>258</v>
      </c>
    </row>
    <row r="73" spans="1:12" x14ac:dyDescent="0.3">
      <c r="A73" s="76">
        <v>72</v>
      </c>
      <c r="B73" s="77" t="s">
        <v>8</v>
      </c>
      <c r="C73" s="78" t="s">
        <v>390</v>
      </c>
      <c r="D73" s="79" t="s">
        <v>391</v>
      </c>
      <c r="E73" s="80" t="s">
        <v>4</v>
      </c>
      <c r="F73" s="80" t="s">
        <v>16</v>
      </c>
      <c r="G73" s="77" t="s">
        <v>178</v>
      </c>
      <c r="H73" s="80">
        <v>4</v>
      </c>
      <c r="I73" s="22" t="s">
        <v>465</v>
      </c>
      <c r="J73" s="9" t="s">
        <v>258</v>
      </c>
      <c r="K73" s="9" t="s">
        <v>258</v>
      </c>
    </row>
    <row r="74" spans="1:12" x14ac:dyDescent="0.3">
      <c r="A74" s="76">
        <v>73</v>
      </c>
      <c r="B74" s="77" t="s">
        <v>8</v>
      </c>
      <c r="C74" s="78" t="s">
        <v>393</v>
      </c>
      <c r="D74" s="79" t="s">
        <v>394</v>
      </c>
      <c r="E74" s="80" t="s">
        <v>4</v>
      </c>
      <c r="F74" s="80" t="s">
        <v>16</v>
      </c>
      <c r="G74" s="77" t="s">
        <v>178</v>
      </c>
      <c r="H74" s="80">
        <v>4</v>
      </c>
      <c r="I74" s="22" t="s">
        <v>465</v>
      </c>
      <c r="J74" s="9" t="s">
        <v>258</v>
      </c>
      <c r="K74" s="9" t="s">
        <v>258</v>
      </c>
    </row>
    <row r="75" spans="1:12" x14ac:dyDescent="0.3">
      <c r="A75" s="76">
        <v>74</v>
      </c>
      <c r="B75" s="77" t="s">
        <v>8</v>
      </c>
      <c r="C75" s="78" t="s">
        <v>397</v>
      </c>
      <c r="D75" s="79" t="s">
        <v>398</v>
      </c>
      <c r="E75" s="80" t="s">
        <v>11</v>
      </c>
      <c r="F75" s="80" t="s">
        <v>12</v>
      </c>
      <c r="G75" s="77" t="s">
        <v>178</v>
      </c>
      <c r="H75" s="80">
        <v>4</v>
      </c>
      <c r="I75" s="22" t="s">
        <v>465</v>
      </c>
      <c r="J75" s="9" t="s">
        <v>258</v>
      </c>
      <c r="K75" s="9" t="s">
        <v>258</v>
      </c>
    </row>
    <row r="76" spans="1:12" x14ac:dyDescent="0.3">
      <c r="A76" s="76">
        <v>75</v>
      </c>
      <c r="B76" s="77" t="s">
        <v>8</v>
      </c>
      <c r="C76" s="78" t="s">
        <v>400</v>
      </c>
      <c r="D76" s="79" t="s">
        <v>401</v>
      </c>
      <c r="E76" s="80" t="s">
        <v>11</v>
      </c>
      <c r="F76" s="80" t="s">
        <v>12</v>
      </c>
      <c r="G76" s="77" t="s">
        <v>178</v>
      </c>
      <c r="H76" s="80">
        <v>3</v>
      </c>
      <c r="I76" s="22" t="s">
        <v>465</v>
      </c>
      <c r="J76" s="9" t="s">
        <v>258</v>
      </c>
      <c r="K76" s="9" t="s">
        <v>258</v>
      </c>
    </row>
    <row r="77" spans="1:12" x14ac:dyDescent="0.3">
      <c r="A77" s="76">
        <v>76</v>
      </c>
      <c r="B77" s="77" t="s">
        <v>8</v>
      </c>
      <c r="C77" s="78" t="s">
        <v>403</v>
      </c>
      <c r="D77" s="79" t="s">
        <v>404</v>
      </c>
      <c r="E77" s="80" t="s">
        <v>4</v>
      </c>
      <c r="F77" s="80" t="s">
        <v>16</v>
      </c>
      <c r="G77" s="77" t="s">
        <v>178</v>
      </c>
      <c r="H77" s="80">
        <v>4</v>
      </c>
      <c r="I77" s="68" t="s">
        <v>260</v>
      </c>
      <c r="J77" s="9" t="s">
        <v>258</v>
      </c>
      <c r="K77" s="9" t="s">
        <v>258</v>
      </c>
    </row>
    <row r="78" spans="1:12" x14ac:dyDescent="0.3">
      <c r="A78" s="76">
        <v>77</v>
      </c>
      <c r="B78" s="77" t="s">
        <v>8</v>
      </c>
      <c r="C78" s="78" t="s">
        <v>406</v>
      </c>
      <c r="D78" s="79" t="s">
        <v>407</v>
      </c>
      <c r="E78" s="80" t="s">
        <v>4</v>
      </c>
      <c r="F78" s="80" t="s">
        <v>16</v>
      </c>
      <c r="G78" s="77" t="s">
        <v>178</v>
      </c>
      <c r="H78" s="80">
        <v>5</v>
      </c>
      <c r="I78" s="68" t="s">
        <v>260</v>
      </c>
      <c r="J78" s="9" t="s">
        <v>258</v>
      </c>
      <c r="K78" s="9" t="s">
        <v>258</v>
      </c>
    </row>
    <row r="79" spans="1:12" x14ac:dyDescent="0.3">
      <c r="A79" s="76">
        <v>78</v>
      </c>
      <c r="B79" s="77" t="s">
        <v>8</v>
      </c>
      <c r="C79" s="78" t="s">
        <v>409</v>
      </c>
      <c r="D79" s="79" t="s">
        <v>410</v>
      </c>
      <c r="E79" s="80" t="s">
        <v>4</v>
      </c>
      <c r="F79" s="80" t="s">
        <v>16</v>
      </c>
      <c r="G79" s="77" t="s">
        <v>178</v>
      </c>
      <c r="H79" s="80">
        <v>3</v>
      </c>
      <c r="I79" s="68" t="s">
        <v>260</v>
      </c>
      <c r="J79" s="9" t="s">
        <v>258</v>
      </c>
      <c r="K79" s="9" t="s">
        <v>258</v>
      </c>
    </row>
    <row r="80" spans="1:12" x14ac:dyDescent="0.3">
      <c r="A80" s="76">
        <v>79</v>
      </c>
      <c r="B80" s="77" t="s">
        <v>8</v>
      </c>
      <c r="C80" s="78" t="s">
        <v>412</v>
      </c>
      <c r="D80" s="79" t="s">
        <v>413</v>
      </c>
      <c r="E80" s="80" t="s">
        <v>4</v>
      </c>
      <c r="F80" s="80" t="s">
        <v>16</v>
      </c>
      <c r="G80" s="77" t="s">
        <v>178</v>
      </c>
      <c r="H80" s="80">
        <v>4</v>
      </c>
      <c r="I80" s="68" t="s">
        <v>260</v>
      </c>
      <c r="J80" s="9" t="s">
        <v>258</v>
      </c>
      <c r="K80" s="9" t="s">
        <v>258</v>
      </c>
    </row>
    <row r="81" spans="1:11" x14ac:dyDescent="0.3">
      <c r="A81" s="76">
        <v>80</v>
      </c>
      <c r="B81" s="77" t="s">
        <v>8</v>
      </c>
      <c r="C81" s="78" t="s">
        <v>415</v>
      </c>
      <c r="D81" s="79" t="s">
        <v>416</v>
      </c>
      <c r="E81" s="80" t="s">
        <v>4</v>
      </c>
      <c r="F81" s="80" t="s">
        <v>16</v>
      </c>
      <c r="G81" s="77" t="s">
        <v>178</v>
      </c>
      <c r="H81" s="80">
        <v>4</v>
      </c>
      <c r="I81" s="68" t="s">
        <v>260</v>
      </c>
      <c r="J81" s="9" t="s">
        <v>258</v>
      </c>
      <c r="K81" s="9" t="s">
        <v>258</v>
      </c>
    </row>
    <row r="82" spans="1:11" x14ac:dyDescent="0.3">
      <c r="A82" s="76">
        <v>81</v>
      </c>
      <c r="B82" s="77" t="s">
        <v>8</v>
      </c>
      <c r="C82" s="78" t="s">
        <v>418</v>
      </c>
      <c r="D82" s="79" t="s">
        <v>419</v>
      </c>
      <c r="E82" s="80" t="s">
        <v>4</v>
      </c>
      <c r="F82" s="80" t="s">
        <v>16</v>
      </c>
      <c r="G82" s="77" t="s">
        <v>178</v>
      </c>
      <c r="H82" s="80">
        <v>4</v>
      </c>
      <c r="I82" s="68" t="s">
        <v>260</v>
      </c>
      <c r="J82" s="9" t="s">
        <v>258</v>
      </c>
      <c r="K82" s="9" t="s">
        <v>258</v>
      </c>
    </row>
    <row r="83" spans="1:11" x14ac:dyDescent="0.3">
      <c r="A83" s="76">
        <v>82</v>
      </c>
      <c r="B83" s="77" t="s">
        <v>8</v>
      </c>
      <c r="C83" s="78" t="s">
        <v>421</v>
      </c>
      <c r="D83" s="79" t="s">
        <v>422</v>
      </c>
      <c r="E83" s="80" t="s">
        <v>11</v>
      </c>
      <c r="F83" s="80" t="s">
        <v>12</v>
      </c>
      <c r="G83" s="77" t="s">
        <v>178</v>
      </c>
      <c r="H83" s="80">
        <v>4</v>
      </c>
      <c r="I83" s="68" t="s">
        <v>260</v>
      </c>
      <c r="J83" s="9" t="s">
        <v>258</v>
      </c>
      <c r="K83" s="9" t="s">
        <v>258</v>
      </c>
    </row>
    <row r="84" spans="1:11" x14ac:dyDescent="0.3">
      <c r="A84" s="76">
        <v>83</v>
      </c>
      <c r="B84" s="77" t="s">
        <v>8</v>
      </c>
      <c r="C84" s="78" t="s">
        <v>424</v>
      </c>
      <c r="D84" s="79" t="s">
        <v>425</v>
      </c>
      <c r="E84" s="80" t="s">
        <v>4</v>
      </c>
      <c r="F84" s="80" t="s">
        <v>16</v>
      </c>
      <c r="G84" s="77" t="s">
        <v>178</v>
      </c>
      <c r="H84" s="80">
        <v>4</v>
      </c>
      <c r="I84" s="68" t="s">
        <v>260</v>
      </c>
      <c r="J84" s="9" t="s">
        <v>258</v>
      </c>
      <c r="K84" s="9" t="s">
        <v>258</v>
      </c>
    </row>
    <row r="85" spans="1:11" x14ac:dyDescent="0.3">
      <c r="A85" s="76">
        <v>84</v>
      </c>
      <c r="B85" s="77" t="s">
        <v>8</v>
      </c>
      <c r="C85" s="78" t="s">
        <v>427</v>
      </c>
      <c r="D85" s="79" t="s">
        <v>428</v>
      </c>
      <c r="E85" s="80" t="s">
        <v>4</v>
      </c>
      <c r="F85" s="80" t="s">
        <v>16</v>
      </c>
      <c r="G85" s="77" t="s">
        <v>178</v>
      </c>
      <c r="H85" s="80">
        <v>4</v>
      </c>
      <c r="I85" s="68" t="s">
        <v>260</v>
      </c>
      <c r="J85" s="9" t="s">
        <v>258</v>
      </c>
      <c r="K85" s="9" t="s">
        <v>258</v>
      </c>
    </row>
    <row r="86" spans="1:11" x14ac:dyDescent="0.3">
      <c r="A86" s="76">
        <v>85</v>
      </c>
      <c r="B86" s="77" t="s">
        <v>8</v>
      </c>
      <c r="C86" s="78" t="s">
        <v>430</v>
      </c>
      <c r="D86" s="85" t="s">
        <v>431</v>
      </c>
      <c r="E86" s="80" t="s">
        <v>11</v>
      </c>
      <c r="F86" s="80" t="s">
        <v>12</v>
      </c>
      <c r="G86" s="77" t="s">
        <v>178</v>
      </c>
      <c r="H86" s="80">
        <v>3</v>
      </c>
      <c r="I86" s="70" t="s">
        <v>262</v>
      </c>
      <c r="J86" s="9" t="s">
        <v>258</v>
      </c>
      <c r="K86" s="9" t="s">
        <v>258</v>
      </c>
    </row>
    <row r="87" spans="1:11" x14ac:dyDescent="0.3">
      <c r="A87" s="76">
        <v>86</v>
      </c>
      <c r="B87" s="77" t="s">
        <v>157</v>
      </c>
      <c r="C87" s="86" t="s">
        <v>433</v>
      </c>
      <c r="D87" s="87" t="s">
        <v>434</v>
      </c>
      <c r="E87" s="88" t="s">
        <v>11</v>
      </c>
      <c r="F87" s="88" t="s">
        <v>12</v>
      </c>
      <c r="G87" s="77" t="s">
        <v>178</v>
      </c>
      <c r="H87" s="80">
        <v>4</v>
      </c>
      <c r="I87" s="22" t="s">
        <v>465</v>
      </c>
      <c r="J87" s="9" t="s">
        <v>258</v>
      </c>
      <c r="K87" s="9" t="s">
        <v>258</v>
      </c>
    </row>
    <row r="88" spans="1:11" x14ac:dyDescent="0.3">
      <c r="A88" s="76">
        <v>87</v>
      </c>
      <c r="B88" s="77" t="s">
        <v>157</v>
      </c>
      <c r="C88" s="86" t="s">
        <v>436</v>
      </c>
      <c r="D88" s="87">
        <v>1117</v>
      </c>
      <c r="E88" s="88" t="s">
        <v>4</v>
      </c>
      <c r="F88" s="88" t="s">
        <v>16</v>
      </c>
      <c r="G88" s="77" t="s">
        <v>178</v>
      </c>
      <c r="H88" s="80">
        <v>3</v>
      </c>
      <c r="I88" s="68" t="s">
        <v>260</v>
      </c>
      <c r="J88" s="9" t="s">
        <v>258</v>
      </c>
      <c r="K88" s="9" t="s">
        <v>258</v>
      </c>
    </row>
    <row r="89" spans="1:11" x14ac:dyDescent="0.3">
      <c r="A89" s="76">
        <v>88</v>
      </c>
      <c r="B89" s="77" t="s">
        <v>157</v>
      </c>
      <c r="C89" s="86" t="s">
        <v>438</v>
      </c>
      <c r="D89" s="87">
        <v>9004</v>
      </c>
      <c r="E89" s="88" t="s">
        <v>4</v>
      </c>
      <c r="F89" s="88" t="s">
        <v>16</v>
      </c>
      <c r="G89" s="77" t="s">
        <v>178</v>
      </c>
      <c r="H89" s="80">
        <v>4</v>
      </c>
      <c r="I89" s="68" t="s">
        <v>260</v>
      </c>
      <c r="J89" s="9" t="s">
        <v>258</v>
      </c>
      <c r="K89" s="9" t="s">
        <v>258</v>
      </c>
    </row>
    <row r="90" spans="1:11" x14ac:dyDescent="0.3">
      <c r="A90" s="76">
        <v>89</v>
      </c>
      <c r="B90" s="77" t="s">
        <v>157</v>
      </c>
      <c r="C90" s="86" t="s">
        <v>440</v>
      </c>
      <c r="D90" s="87">
        <v>6008</v>
      </c>
      <c r="E90" s="88" t="s">
        <v>4</v>
      </c>
      <c r="F90" s="88" t="s">
        <v>16</v>
      </c>
      <c r="G90" s="77" t="s">
        <v>178</v>
      </c>
      <c r="H90" s="80">
        <v>6</v>
      </c>
      <c r="I90" s="22" t="s">
        <v>465</v>
      </c>
      <c r="J90" s="9" t="s">
        <v>258</v>
      </c>
      <c r="K90" s="9" t="s">
        <v>258</v>
      </c>
    </row>
    <row r="91" spans="1:11" x14ac:dyDescent="0.3">
      <c r="A91" s="76">
        <v>90</v>
      </c>
      <c r="B91" s="77" t="s">
        <v>157</v>
      </c>
      <c r="C91" s="86" t="s">
        <v>442</v>
      </c>
      <c r="D91" s="87">
        <v>6019</v>
      </c>
      <c r="E91" s="88" t="s">
        <v>4</v>
      </c>
      <c r="F91" s="88" t="s">
        <v>16</v>
      </c>
      <c r="G91" s="77" t="s">
        <v>178</v>
      </c>
      <c r="H91" s="80">
        <v>3</v>
      </c>
      <c r="I91" s="70" t="s">
        <v>262</v>
      </c>
      <c r="J91" s="9" t="s">
        <v>258</v>
      </c>
      <c r="K91" s="9" t="s">
        <v>258</v>
      </c>
    </row>
    <row r="92" spans="1:11" x14ac:dyDescent="0.3">
      <c r="A92" s="76">
        <v>91</v>
      </c>
      <c r="B92" s="77" t="s">
        <v>8</v>
      </c>
      <c r="C92" s="86" t="s">
        <v>444</v>
      </c>
      <c r="D92" s="87" t="s">
        <v>445</v>
      </c>
      <c r="E92" s="88" t="s">
        <v>4</v>
      </c>
      <c r="F92" s="88" t="s">
        <v>16</v>
      </c>
      <c r="G92" s="77" t="s">
        <v>178</v>
      </c>
      <c r="H92" s="80">
        <v>4</v>
      </c>
      <c r="I92" s="70" t="s">
        <v>262</v>
      </c>
      <c r="J92" s="9" t="s">
        <v>258</v>
      </c>
      <c r="K92" s="9" t="s">
        <v>258</v>
      </c>
    </row>
    <row r="93" spans="1:11" x14ac:dyDescent="0.3">
      <c r="A93" s="76">
        <v>92</v>
      </c>
      <c r="B93" s="77" t="s">
        <v>8</v>
      </c>
      <c r="C93" s="86" t="s">
        <v>447</v>
      </c>
      <c r="D93" s="87" t="s">
        <v>448</v>
      </c>
      <c r="E93" s="88" t="s">
        <v>4</v>
      </c>
      <c r="F93" s="88" t="s">
        <v>16</v>
      </c>
      <c r="G93" s="77" t="s">
        <v>178</v>
      </c>
      <c r="H93" s="80">
        <v>4</v>
      </c>
      <c r="I93" s="68" t="s">
        <v>260</v>
      </c>
      <c r="J93" s="9" t="s">
        <v>258</v>
      </c>
      <c r="K93" s="9" t="s">
        <v>258</v>
      </c>
    </row>
    <row r="94" spans="1:11" x14ac:dyDescent="0.3">
      <c r="A94" s="76">
        <v>93</v>
      </c>
      <c r="B94" s="77" t="s">
        <v>8</v>
      </c>
      <c r="C94" s="86" t="s">
        <v>450</v>
      </c>
      <c r="D94" s="87" t="s">
        <v>451</v>
      </c>
      <c r="E94" s="88" t="s">
        <v>11</v>
      </c>
      <c r="F94" s="88" t="s">
        <v>12</v>
      </c>
      <c r="G94" s="77" t="s">
        <v>178</v>
      </c>
      <c r="H94" s="80">
        <v>3</v>
      </c>
      <c r="I94" s="68" t="s">
        <v>260</v>
      </c>
      <c r="J94" s="9" t="s">
        <v>258</v>
      </c>
      <c r="K94" s="9" t="s">
        <v>258</v>
      </c>
    </row>
    <row r="95" spans="1:11" x14ac:dyDescent="0.3">
      <c r="A95" s="76">
        <v>94</v>
      </c>
      <c r="B95" s="77" t="s">
        <v>8</v>
      </c>
      <c r="C95" s="86" t="s">
        <v>453</v>
      </c>
      <c r="D95" s="87" t="s">
        <v>454</v>
      </c>
      <c r="E95" s="88" t="s">
        <v>11</v>
      </c>
      <c r="F95" s="88" t="s">
        <v>12</v>
      </c>
      <c r="G95" s="77" t="s">
        <v>178</v>
      </c>
      <c r="H95" s="80">
        <v>2</v>
      </c>
      <c r="I95" s="22" t="s">
        <v>465</v>
      </c>
      <c r="J95" s="9" t="s">
        <v>258</v>
      </c>
      <c r="K95" s="9" t="s">
        <v>258</v>
      </c>
    </row>
    <row r="96" spans="1:11" x14ac:dyDescent="0.3">
      <c r="A96" s="76">
        <v>95</v>
      </c>
      <c r="B96" s="77" t="s">
        <v>8</v>
      </c>
      <c r="C96" s="86" t="s">
        <v>456</v>
      </c>
      <c r="D96" s="87" t="s">
        <v>457</v>
      </c>
      <c r="E96" s="88" t="s">
        <v>11</v>
      </c>
      <c r="F96" s="88" t="s">
        <v>12</v>
      </c>
      <c r="G96" s="77" t="s">
        <v>178</v>
      </c>
      <c r="H96" s="80">
        <v>3</v>
      </c>
      <c r="I96" s="70" t="s">
        <v>262</v>
      </c>
      <c r="J96" s="9" t="s">
        <v>258</v>
      </c>
      <c r="K96" s="9" t="s">
        <v>258</v>
      </c>
    </row>
    <row r="97" spans="1:11" x14ac:dyDescent="0.3">
      <c r="A97" s="76">
        <v>96</v>
      </c>
      <c r="B97" s="77" t="s">
        <v>157</v>
      </c>
      <c r="C97" s="86" t="s">
        <v>459</v>
      </c>
      <c r="D97" s="87">
        <v>2016</v>
      </c>
      <c r="E97" s="88" t="s">
        <v>4</v>
      </c>
      <c r="F97" s="88" t="s">
        <v>16</v>
      </c>
      <c r="G97" s="77" t="s">
        <v>178</v>
      </c>
      <c r="H97" s="80">
        <v>4</v>
      </c>
      <c r="I97" s="68" t="s">
        <v>260</v>
      </c>
      <c r="J97" s="9" t="s">
        <v>258</v>
      </c>
      <c r="K97" s="9" t="s">
        <v>258</v>
      </c>
    </row>
    <row r="98" spans="1:11" x14ac:dyDescent="0.3">
      <c r="A98" s="76">
        <v>97</v>
      </c>
      <c r="B98" s="77" t="s">
        <v>157</v>
      </c>
      <c r="C98" s="86" t="s">
        <v>461</v>
      </c>
      <c r="D98" s="87">
        <v>2074</v>
      </c>
      <c r="E98" s="88" t="s">
        <v>4</v>
      </c>
      <c r="F98" s="88" t="s">
        <v>16</v>
      </c>
      <c r="G98" s="77" t="s">
        <v>178</v>
      </c>
      <c r="H98" s="80">
        <v>3</v>
      </c>
      <c r="I98" s="68" t="s">
        <v>260</v>
      </c>
      <c r="J98" s="9" t="s">
        <v>258</v>
      </c>
      <c r="K98" s="9" t="s">
        <v>258</v>
      </c>
    </row>
    <row r="99" spans="1:11" ht="15" thickBot="1" x14ac:dyDescent="0.35">
      <c r="A99" s="89"/>
      <c r="B99" s="90"/>
      <c r="C99" s="91"/>
      <c r="D99" s="92"/>
      <c r="E99" s="93"/>
      <c r="F99" s="93"/>
      <c r="G99" s="90"/>
      <c r="H99" s="94"/>
    </row>
    <row r="100" spans="1:11" ht="15" thickBot="1" x14ac:dyDescent="0.35">
      <c r="H100" s="39">
        <f>SUM(H2:H99)</f>
        <v>348</v>
      </c>
    </row>
    <row r="102" spans="1:11" x14ac:dyDescent="0.3">
      <c r="B102" s="47">
        <f>+COUNTIF(B2:B99,C102)</f>
        <v>72</v>
      </c>
      <c r="C102" s="48" t="s">
        <v>8</v>
      </c>
      <c r="E102" s="42" t="s">
        <v>188</v>
      </c>
      <c r="F102" s="43">
        <f>+COUNTIF(F2:F99,E102)</f>
        <v>0</v>
      </c>
      <c r="H102" s="40">
        <f>+H100-348</f>
        <v>0</v>
      </c>
    </row>
    <row r="103" spans="1:11" x14ac:dyDescent="0.3">
      <c r="B103" s="47">
        <f>+COUNTIF(B2:B99,C103)</f>
        <v>25</v>
      </c>
      <c r="C103" s="48" t="s">
        <v>157</v>
      </c>
      <c r="E103" s="42" t="s">
        <v>12</v>
      </c>
      <c r="F103" s="43">
        <f>+COUNTIF(F2:F99,E103)</f>
        <v>18</v>
      </c>
      <c r="H103" s="40"/>
    </row>
    <row r="104" spans="1:11" ht="15" thickBot="1" x14ac:dyDescent="0.35">
      <c r="B104" s="47"/>
      <c r="C104" s="50" t="s">
        <v>464</v>
      </c>
      <c r="E104" s="42" t="s">
        <v>51</v>
      </c>
      <c r="F104" s="43">
        <f>+COUNTIF(F2:F99,E104)</f>
        <v>20</v>
      </c>
      <c r="H104" s="40"/>
    </row>
    <row r="105" spans="1:11" ht="15" thickBot="1" x14ac:dyDescent="0.35">
      <c r="B105" s="49">
        <f>SUBTOTAL(9,B101:B104)</f>
        <v>97</v>
      </c>
      <c r="C105" s="38"/>
      <c r="E105" s="42" t="s">
        <v>16</v>
      </c>
      <c r="F105" s="43">
        <f>+COUNTIF(F2:F99,E105)</f>
        <v>59</v>
      </c>
    </row>
    <row r="106" spans="1:11" ht="15" thickBot="1" x14ac:dyDescent="0.35">
      <c r="E106" s="44"/>
      <c r="F106" s="45">
        <f>SUBTOTAL(9,F102:F105)</f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657F2-04DC-45DF-9343-C57352E3EA9A}">
  <dimension ref="A1:H56"/>
  <sheetViews>
    <sheetView workbookViewId="0">
      <selection activeCell="K10" sqref="K10"/>
    </sheetView>
  </sheetViews>
  <sheetFormatPr defaultRowHeight="14.4" x14ac:dyDescent="0.3"/>
  <cols>
    <col min="4" max="4" width="42.44140625" bestFit="1" customWidth="1"/>
    <col min="6" max="6" width="9.6640625" bestFit="1" customWidth="1"/>
    <col min="7" max="7" width="13.5546875" customWidth="1"/>
    <col min="8" max="8" width="11.109375" customWidth="1"/>
  </cols>
  <sheetData>
    <row r="1" spans="1:8" ht="66" x14ac:dyDescent="0.3">
      <c r="A1" s="131" t="s">
        <v>0</v>
      </c>
      <c r="B1" s="131" t="s">
        <v>466</v>
      </c>
      <c r="C1" s="132" t="s">
        <v>1</v>
      </c>
      <c r="D1" s="133" t="s">
        <v>2</v>
      </c>
      <c r="E1" s="134" t="s">
        <v>3</v>
      </c>
      <c r="F1" s="135" t="s">
        <v>4</v>
      </c>
      <c r="G1" s="135" t="s">
        <v>5</v>
      </c>
      <c r="H1" s="136" t="s">
        <v>263</v>
      </c>
    </row>
    <row r="2" spans="1:8" x14ac:dyDescent="0.3">
      <c r="A2" s="137">
        <v>1</v>
      </c>
      <c r="B2" s="137" t="s">
        <v>467</v>
      </c>
      <c r="C2" s="138" t="s">
        <v>8</v>
      </c>
      <c r="D2" s="139" t="s">
        <v>9</v>
      </c>
      <c r="E2" s="140" t="s">
        <v>10</v>
      </c>
      <c r="F2" s="141" t="s">
        <v>11</v>
      </c>
      <c r="G2" s="142" t="s">
        <v>12</v>
      </c>
      <c r="H2" s="142"/>
    </row>
    <row r="3" spans="1:8" x14ac:dyDescent="0.3">
      <c r="A3" s="137">
        <v>6</v>
      </c>
      <c r="B3" s="137" t="s">
        <v>467</v>
      </c>
      <c r="C3" s="138" t="s">
        <v>8</v>
      </c>
      <c r="D3" s="139" t="s">
        <v>23</v>
      </c>
      <c r="E3" s="143" t="s">
        <v>24</v>
      </c>
      <c r="F3" s="141" t="s">
        <v>11</v>
      </c>
      <c r="G3" s="142" t="s">
        <v>12</v>
      </c>
      <c r="H3" s="142"/>
    </row>
    <row r="4" spans="1:8" x14ac:dyDescent="0.3">
      <c r="A4" s="137">
        <v>7</v>
      </c>
      <c r="B4" s="137" t="s">
        <v>467</v>
      </c>
      <c r="C4" s="138" t="s">
        <v>8</v>
      </c>
      <c r="D4" s="139" t="s">
        <v>25</v>
      </c>
      <c r="E4" s="143" t="s">
        <v>26</v>
      </c>
      <c r="F4" s="141" t="s">
        <v>11</v>
      </c>
      <c r="G4" s="142" t="s">
        <v>12</v>
      </c>
      <c r="H4" s="142"/>
    </row>
    <row r="5" spans="1:8" x14ac:dyDescent="0.3">
      <c r="A5" s="137">
        <v>13</v>
      </c>
      <c r="B5" s="137" t="s">
        <v>467</v>
      </c>
      <c r="C5" s="138" t="s">
        <v>8</v>
      </c>
      <c r="D5" s="139" t="s">
        <v>37</v>
      </c>
      <c r="E5" s="140" t="s">
        <v>38</v>
      </c>
      <c r="F5" s="141" t="s">
        <v>11</v>
      </c>
      <c r="G5" s="144" t="s">
        <v>12</v>
      </c>
      <c r="H5" s="144"/>
    </row>
    <row r="6" spans="1:8" x14ac:dyDescent="0.3">
      <c r="A6" s="137">
        <v>14</v>
      </c>
      <c r="B6" s="137" t="s">
        <v>467</v>
      </c>
      <c r="C6" s="138" t="s">
        <v>8</v>
      </c>
      <c r="D6" s="139" t="s">
        <v>39</v>
      </c>
      <c r="E6" s="140" t="s">
        <v>40</v>
      </c>
      <c r="F6" s="141" t="s">
        <v>11</v>
      </c>
      <c r="G6" s="144" t="s">
        <v>12</v>
      </c>
      <c r="H6" s="144"/>
    </row>
    <row r="7" spans="1:8" x14ac:dyDescent="0.3">
      <c r="A7" s="137">
        <v>35</v>
      </c>
      <c r="B7" s="137" t="s">
        <v>467</v>
      </c>
      <c r="C7" s="138" t="s">
        <v>8</v>
      </c>
      <c r="D7" s="139" t="s">
        <v>82</v>
      </c>
      <c r="E7" s="140" t="s">
        <v>83</v>
      </c>
      <c r="F7" s="141" t="s">
        <v>84</v>
      </c>
      <c r="G7" s="144" t="s">
        <v>12</v>
      </c>
      <c r="H7" s="144"/>
    </row>
    <row r="8" spans="1:8" x14ac:dyDescent="0.3">
      <c r="A8" s="137">
        <v>36</v>
      </c>
      <c r="B8" s="137" t="s">
        <v>467</v>
      </c>
      <c r="C8" s="138" t="s">
        <v>8</v>
      </c>
      <c r="D8" s="139" t="s">
        <v>85</v>
      </c>
      <c r="E8" s="140" t="s">
        <v>86</v>
      </c>
      <c r="F8" s="141" t="s">
        <v>84</v>
      </c>
      <c r="G8" s="144" t="s">
        <v>12</v>
      </c>
      <c r="H8" s="144"/>
    </row>
    <row r="9" spans="1:8" x14ac:dyDescent="0.3">
      <c r="A9" s="137">
        <v>53</v>
      </c>
      <c r="B9" s="137" t="s">
        <v>467</v>
      </c>
      <c r="C9" s="138" t="s">
        <v>8</v>
      </c>
      <c r="D9" s="139" t="s">
        <v>119</v>
      </c>
      <c r="E9" s="140" t="s">
        <v>120</v>
      </c>
      <c r="F9" s="141" t="s">
        <v>84</v>
      </c>
      <c r="G9" s="144" t="s">
        <v>12</v>
      </c>
      <c r="H9" s="144"/>
    </row>
    <row r="10" spans="1:8" x14ac:dyDescent="0.3">
      <c r="A10" s="137">
        <v>66</v>
      </c>
      <c r="B10" s="137" t="s">
        <v>467</v>
      </c>
      <c r="C10" s="138" t="s">
        <v>8</v>
      </c>
      <c r="D10" s="139" t="s">
        <v>145</v>
      </c>
      <c r="E10" s="143" t="s">
        <v>146</v>
      </c>
      <c r="F10" s="141" t="s">
        <v>11</v>
      </c>
      <c r="G10" s="142" t="s">
        <v>12</v>
      </c>
      <c r="H10" s="142"/>
    </row>
    <row r="11" spans="1:8" x14ac:dyDescent="0.3">
      <c r="A11" s="137">
        <v>68</v>
      </c>
      <c r="B11" s="137" t="s">
        <v>467</v>
      </c>
      <c r="C11" s="138" t="s">
        <v>8</v>
      </c>
      <c r="D11" s="139" t="s">
        <v>149</v>
      </c>
      <c r="E11" s="143" t="s">
        <v>150</v>
      </c>
      <c r="F11" s="141" t="s">
        <v>11</v>
      </c>
      <c r="G11" s="142" t="s">
        <v>12</v>
      </c>
      <c r="H11" s="142"/>
    </row>
    <row r="12" spans="1:8" x14ac:dyDescent="0.3">
      <c r="A12" s="137">
        <v>70</v>
      </c>
      <c r="B12" s="137" t="s">
        <v>467</v>
      </c>
      <c r="C12" s="138" t="s">
        <v>8</v>
      </c>
      <c r="D12" s="139" t="s">
        <v>153</v>
      </c>
      <c r="E12" s="140" t="s">
        <v>154</v>
      </c>
      <c r="F12" s="141" t="s">
        <v>11</v>
      </c>
      <c r="G12" s="142" t="s">
        <v>12</v>
      </c>
      <c r="H12" s="142"/>
    </row>
    <row r="13" spans="1:8" x14ac:dyDescent="0.3">
      <c r="A13" s="137">
        <v>71</v>
      </c>
      <c r="B13" s="137" t="s">
        <v>467</v>
      </c>
      <c r="C13" s="138" t="s">
        <v>8</v>
      </c>
      <c r="D13" s="139" t="s">
        <v>155</v>
      </c>
      <c r="E13" s="140" t="s">
        <v>156</v>
      </c>
      <c r="F13" s="142" t="s">
        <v>11</v>
      </c>
      <c r="G13" s="142" t="s">
        <v>12</v>
      </c>
      <c r="H13" s="142"/>
    </row>
    <row r="14" spans="1:8" x14ac:dyDescent="0.3">
      <c r="A14" s="76">
        <v>87</v>
      </c>
      <c r="B14" s="76" t="s">
        <v>467</v>
      </c>
      <c r="C14" s="77" t="s">
        <v>8</v>
      </c>
      <c r="D14" s="78" t="s">
        <v>176</v>
      </c>
      <c r="E14" s="85" t="s">
        <v>177</v>
      </c>
      <c r="F14" s="80" t="s">
        <v>11</v>
      </c>
      <c r="G14" s="80" t="s">
        <v>12</v>
      </c>
      <c r="H14" s="80"/>
    </row>
    <row r="15" spans="1:8" x14ac:dyDescent="0.3">
      <c r="A15" s="76">
        <v>88</v>
      </c>
      <c r="B15" s="76" t="s">
        <v>467</v>
      </c>
      <c r="C15" s="77" t="s">
        <v>8</v>
      </c>
      <c r="D15" s="78" t="s">
        <v>180</v>
      </c>
      <c r="E15" s="85" t="s">
        <v>181</v>
      </c>
      <c r="F15" s="80" t="s">
        <v>11</v>
      </c>
      <c r="G15" s="80" t="s">
        <v>12</v>
      </c>
      <c r="H15" s="80"/>
    </row>
    <row r="16" spans="1:8" x14ac:dyDescent="0.3">
      <c r="A16" s="76">
        <v>97</v>
      </c>
      <c r="B16" s="76" t="s">
        <v>467</v>
      </c>
      <c r="C16" s="77" t="s">
        <v>8</v>
      </c>
      <c r="D16" s="78" t="s">
        <v>201</v>
      </c>
      <c r="E16" s="85" t="s">
        <v>202</v>
      </c>
      <c r="F16" s="80" t="s">
        <v>11</v>
      </c>
      <c r="G16" s="80" t="s">
        <v>12</v>
      </c>
      <c r="H16" s="80"/>
    </row>
    <row r="17" spans="1:8" x14ac:dyDescent="0.3">
      <c r="A17" s="76">
        <v>98</v>
      </c>
      <c r="B17" s="76" t="s">
        <v>467</v>
      </c>
      <c r="C17" s="77" t="s">
        <v>8</v>
      </c>
      <c r="D17" s="78" t="s">
        <v>203</v>
      </c>
      <c r="E17" s="85" t="s">
        <v>204</v>
      </c>
      <c r="F17" s="80" t="s">
        <v>11</v>
      </c>
      <c r="G17" s="80" t="s">
        <v>12</v>
      </c>
      <c r="H17" s="80"/>
    </row>
    <row r="18" spans="1:8" x14ac:dyDescent="0.3">
      <c r="A18" s="76">
        <v>99</v>
      </c>
      <c r="B18" s="76" t="s">
        <v>467</v>
      </c>
      <c r="C18" s="77" t="s">
        <v>8</v>
      </c>
      <c r="D18" s="78" t="s">
        <v>205</v>
      </c>
      <c r="E18" s="85" t="s">
        <v>206</v>
      </c>
      <c r="F18" s="80" t="s">
        <v>11</v>
      </c>
      <c r="G18" s="80" t="s">
        <v>12</v>
      </c>
      <c r="H18" s="80"/>
    </row>
    <row r="19" spans="1:8" x14ac:dyDescent="0.3">
      <c r="A19" s="76">
        <v>100</v>
      </c>
      <c r="B19" s="76" t="s">
        <v>467</v>
      </c>
      <c r="C19" s="77" t="s">
        <v>8</v>
      </c>
      <c r="D19" s="78" t="s">
        <v>207</v>
      </c>
      <c r="E19" s="85" t="s">
        <v>208</v>
      </c>
      <c r="F19" s="80" t="s">
        <v>11</v>
      </c>
      <c r="G19" s="80" t="s">
        <v>12</v>
      </c>
      <c r="H19" s="80"/>
    </row>
    <row r="20" spans="1:8" x14ac:dyDescent="0.3">
      <c r="A20" s="76">
        <v>101</v>
      </c>
      <c r="B20" s="76" t="s">
        <v>467</v>
      </c>
      <c r="C20" s="77" t="s">
        <v>157</v>
      </c>
      <c r="D20" s="78" t="s">
        <v>209</v>
      </c>
      <c r="E20" s="85">
        <v>19062</v>
      </c>
      <c r="F20" s="80" t="s">
        <v>11</v>
      </c>
      <c r="G20" s="80" t="s">
        <v>12</v>
      </c>
      <c r="H20" s="80"/>
    </row>
    <row r="21" spans="1:8" x14ac:dyDescent="0.3">
      <c r="A21" s="76">
        <v>102</v>
      </c>
      <c r="B21" s="76" t="s">
        <v>467</v>
      </c>
      <c r="C21" s="77" t="s">
        <v>157</v>
      </c>
      <c r="D21" s="78" t="s">
        <v>210</v>
      </c>
      <c r="E21" s="85">
        <v>19055</v>
      </c>
      <c r="F21" s="80" t="s">
        <v>11</v>
      </c>
      <c r="G21" s="80" t="s">
        <v>12</v>
      </c>
      <c r="H21" s="80"/>
    </row>
    <row r="22" spans="1:8" x14ac:dyDescent="0.3">
      <c r="A22" s="76">
        <v>103</v>
      </c>
      <c r="B22" s="76" t="s">
        <v>467</v>
      </c>
      <c r="C22" s="77" t="s">
        <v>157</v>
      </c>
      <c r="D22" s="78" t="s">
        <v>211</v>
      </c>
      <c r="E22" s="85">
        <v>19015</v>
      </c>
      <c r="F22" s="80" t="s">
        <v>11</v>
      </c>
      <c r="G22" s="80" t="s">
        <v>12</v>
      </c>
      <c r="H22" s="80"/>
    </row>
    <row r="23" spans="1:8" x14ac:dyDescent="0.3">
      <c r="A23" s="76">
        <v>104</v>
      </c>
      <c r="B23" s="76" t="s">
        <v>467</v>
      </c>
      <c r="C23" s="77" t="s">
        <v>157</v>
      </c>
      <c r="D23" s="78" t="s">
        <v>212</v>
      </c>
      <c r="E23" s="85">
        <v>19017</v>
      </c>
      <c r="F23" s="80" t="s">
        <v>11</v>
      </c>
      <c r="G23" s="80" t="s">
        <v>12</v>
      </c>
      <c r="H23" s="80"/>
    </row>
    <row r="24" spans="1:8" x14ac:dyDescent="0.3">
      <c r="A24" s="76">
        <v>105</v>
      </c>
      <c r="B24" s="76" t="s">
        <v>467</v>
      </c>
      <c r="C24" s="77" t="s">
        <v>157</v>
      </c>
      <c r="D24" s="78" t="s">
        <v>213</v>
      </c>
      <c r="E24" s="85">
        <v>19006</v>
      </c>
      <c r="F24" s="80" t="s">
        <v>11</v>
      </c>
      <c r="G24" s="80" t="s">
        <v>12</v>
      </c>
      <c r="H24" s="80"/>
    </row>
    <row r="25" spans="1:8" x14ac:dyDescent="0.3">
      <c r="A25" s="76">
        <v>106</v>
      </c>
      <c r="B25" s="76" t="s">
        <v>467</v>
      </c>
      <c r="C25" s="77" t="s">
        <v>157</v>
      </c>
      <c r="D25" s="78" t="s">
        <v>214</v>
      </c>
      <c r="E25" s="85">
        <v>18038</v>
      </c>
      <c r="F25" s="80" t="s">
        <v>11</v>
      </c>
      <c r="G25" s="80" t="s">
        <v>12</v>
      </c>
      <c r="H25" s="80"/>
    </row>
    <row r="26" spans="1:8" x14ac:dyDescent="0.3">
      <c r="A26" s="76">
        <v>107</v>
      </c>
      <c r="B26" s="76" t="s">
        <v>467</v>
      </c>
      <c r="C26" s="77" t="s">
        <v>157</v>
      </c>
      <c r="D26" s="78" t="s">
        <v>215</v>
      </c>
      <c r="E26" s="85">
        <v>18019</v>
      </c>
      <c r="F26" s="80" t="s">
        <v>11</v>
      </c>
      <c r="G26" s="80" t="s">
        <v>12</v>
      </c>
      <c r="H26" s="80"/>
    </row>
    <row r="27" spans="1:8" x14ac:dyDescent="0.3">
      <c r="A27" s="76">
        <v>108</v>
      </c>
      <c r="B27" s="76" t="s">
        <v>467</v>
      </c>
      <c r="C27" s="77" t="s">
        <v>157</v>
      </c>
      <c r="D27" s="78" t="s">
        <v>216</v>
      </c>
      <c r="E27" s="85">
        <v>19028</v>
      </c>
      <c r="F27" s="80" t="s">
        <v>11</v>
      </c>
      <c r="G27" s="80" t="s">
        <v>12</v>
      </c>
      <c r="H27" s="80"/>
    </row>
    <row r="28" spans="1:8" x14ac:dyDescent="0.3">
      <c r="A28" s="76">
        <v>109</v>
      </c>
      <c r="B28" s="76" t="s">
        <v>467</v>
      </c>
      <c r="C28" s="77" t="s">
        <v>157</v>
      </c>
      <c r="D28" s="78" t="s">
        <v>217</v>
      </c>
      <c r="E28" s="85">
        <v>19029</v>
      </c>
      <c r="F28" s="80" t="s">
        <v>11</v>
      </c>
      <c r="G28" s="80" t="s">
        <v>12</v>
      </c>
      <c r="H28" s="80"/>
    </row>
    <row r="29" spans="1:8" x14ac:dyDescent="0.3">
      <c r="A29" s="145">
        <v>112</v>
      </c>
      <c r="B29" s="145" t="s">
        <v>467</v>
      </c>
      <c r="C29" s="146" t="s">
        <v>157</v>
      </c>
      <c r="D29" s="147" t="s">
        <v>221</v>
      </c>
      <c r="E29" s="148">
        <v>15014</v>
      </c>
      <c r="F29" s="149" t="s">
        <v>11</v>
      </c>
      <c r="G29" s="149" t="s">
        <v>12</v>
      </c>
      <c r="H29" s="149"/>
    </row>
    <row r="30" spans="1:8" x14ac:dyDescent="0.3">
      <c r="A30" s="145">
        <v>113</v>
      </c>
      <c r="B30" s="145" t="s">
        <v>467</v>
      </c>
      <c r="C30" s="146" t="s">
        <v>157</v>
      </c>
      <c r="D30" s="147" t="s">
        <v>222</v>
      </c>
      <c r="E30" s="148">
        <v>1218</v>
      </c>
      <c r="F30" s="149" t="s">
        <v>11</v>
      </c>
      <c r="G30" s="149" t="s">
        <v>12</v>
      </c>
      <c r="H30" s="149"/>
    </row>
    <row r="31" spans="1:8" x14ac:dyDescent="0.3">
      <c r="A31" s="145">
        <v>114</v>
      </c>
      <c r="B31" s="145" t="s">
        <v>467</v>
      </c>
      <c r="C31" s="146" t="s">
        <v>157</v>
      </c>
      <c r="D31" s="147" t="s">
        <v>223</v>
      </c>
      <c r="E31" s="148">
        <v>1104</v>
      </c>
      <c r="F31" s="149" t="s">
        <v>11</v>
      </c>
      <c r="G31" s="149" t="s">
        <v>12</v>
      </c>
      <c r="H31" s="149"/>
    </row>
    <row r="32" spans="1:8" x14ac:dyDescent="0.3">
      <c r="A32" s="145">
        <v>115</v>
      </c>
      <c r="B32" s="145" t="s">
        <v>467</v>
      </c>
      <c r="C32" s="146" t="s">
        <v>157</v>
      </c>
      <c r="D32" s="147" t="s">
        <v>224</v>
      </c>
      <c r="E32" s="148">
        <v>1093</v>
      </c>
      <c r="F32" s="149" t="s">
        <v>11</v>
      </c>
      <c r="G32" s="149" t="s">
        <v>12</v>
      </c>
      <c r="H32" s="149"/>
    </row>
    <row r="33" spans="1:8" x14ac:dyDescent="0.3">
      <c r="A33" s="145">
        <v>116</v>
      </c>
      <c r="B33" s="145" t="s">
        <v>467</v>
      </c>
      <c r="C33" s="146" t="s">
        <v>157</v>
      </c>
      <c r="D33" s="147" t="s">
        <v>225</v>
      </c>
      <c r="E33" s="148">
        <v>1044</v>
      </c>
      <c r="F33" s="149" t="s">
        <v>11</v>
      </c>
      <c r="G33" s="149" t="s">
        <v>12</v>
      </c>
      <c r="H33" s="149"/>
    </row>
    <row r="34" spans="1:8" x14ac:dyDescent="0.3">
      <c r="A34" s="145">
        <v>119</v>
      </c>
      <c r="B34" s="145" t="s">
        <v>467</v>
      </c>
      <c r="C34" s="146" t="s">
        <v>157</v>
      </c>
      <c r="D34" s="147" t="s">
        <v>228</v>
      </c>
      <c r="E34" s="148">
        <v>16026</v>
      </c>
      <c r="F34" s="149" t="s">
        <v>11</v>
      </c>
      <c r="G34" s="149" t="s">
        <v>12</v>
      </c>
      <c r="H34" s="149"/>
    </row>
    <row r="35" spans="1:8" x14ac:dyDescent="0.3">
      <c r="A35" s="145">
        <v>120</v>
      </c>
      <c r="B35" s="145" t="s">
        <v>467</v>
      </c>
      <c r="C35" s="146" t="s">
        <v>157</v>
      </c>
      <c r="D35" s="147" t="s">
        <v>229</v>
      </c>
      <c r="E35" s="148">
        <v>16027</v>
      </c>
      <c r="F35" s="149" t="s">
        <v>11</v>
      </c>
      <c r="G35" s="149" t="s">
        <v>12</v>
      </c>
      <c r="H35" s="149"/>
    </row>
    <row r="36" spans="1:8" x14ac:dyDescent="0.3">
      <c r="A36" s="145">
        <v>121</v>
      </c>
      <c r="B36" s="145" t="s">
        <v>467</v>
      </c>
      <c r="C36" s="146" t="s">
        <v>157</v>
      </c>
      <c r="D36" s="147" t="s">
        <v>230</v>
      </c>
      <c r="E36" s="148">
        <v>17114</v>
      </c>
      <c r="F36" s="149" t="s">
        <v>11</v>
      </c>
      <c r="G36" s="149" t="s">
        <v>12</v>
      </c>
      <c r="H36" s="149"/>
    </row>
    <row r="37" spans="1:8" x14ac:dyDescent="0.3">
      <c r="A37" s="145">
        <v>122</v>
      </c>
      <c r="B37" s="145" t="s">
        <v>467</v>
      </c>
      <c r="C37" s="146" t="s">
        <v>157</v>
      </c>
      <c r="D37" s="147" t="s">
        <v>231</v>
      </c>
      <c r="E37" s="148">
        <v>19013</v>
      </c>
      <c r="F37" s="149" t="s">
        <v>11</v>
      </c>
      <c r="G37" s="149" t="s">
        <v>12</v>
      </c>
      <c r="H37" s="149"/>
    </row>
    <row r="38" spans="1:8" x14ac:dyDescent="0.3">
      <c r="A38" s="145">
        <v>123</v>
      </c>
      <c r="B38" s="145" t="s">
        <v>467</v>
      </c>
      <c r="C38" s="146" t="s">
        <v>157</v>
      </c>
      <c r="D38" s="147" t="s">
        <v>232</v>
      </c>
      <c r="E38" s="148">
        <v>19014</v>
      </c>
      <c r="F38" s="149" t="s">
        <v>11</v>
      </c>
      <c r="G38" s="149" t="s">
        <v>12</v>
      </c>
      <c r="H38" s="149"/>
    </row>
    <row r="39" spans="1:8" x14ac:dyDescent="0.3">
      <c r="A39" s="137">
        <v>159</v>
      </c>
      <c r="B39" s="137" t="s">
        <v>468</v>
      </c>
      <c r="C39" s="138" t="s">
        <v>8</v>
      </c>
      <c r="D39" s="139" t="s">
        <v>333</v>
      </c>
      <c r="E39" s="150" t="s">
        <v>334</v>
      </c>
      <c r="F39" s="141" t="s">
        <v>11</v>
      </c>
      <c r="G39" s="144" t="s">
        <v>12</v>
      </c>
      <c r="H39" s="144"/>
    </row>
    <row r="40" spans="1:8" x14ac:dyDescent="0.3">
      <c r="A40" s="137">
        <v>183</v>
      </c>
      <c r="B40" s="137" t="s">
        <v>468</v>
      </c>
      <c r="C40" s="138" t="s">
        <v>157</v>
      </c>
      <c r="D40" s="139" t="s">
        <v>373</v>
      </c>
      <c r="E40" s="150">
        <v>2028</v>
      </c>
      <c r="F40" s="141" t="s">
        <v>11</v>
      </c>
      <c r="G40" s="141" t="s">
        <v>12</v>
      </c>
      <c r="H40" s="141"/>
    </row>
    <row r="41" spans="1:8" x14ac:dyDescent="0.3">
      <c r="A41" s="137">
        <v>184</v>
      </c>
      <c r="B41" s="137" t="s">
        <v>468</v>
      </c>
      <c r="C41" s="138" t="s">
        <v>157</v>
      </c>
      <c r="D41" s="139" t="s">
        <v>374</v>
      </c>
      <c r="E41" s="150">
        <v>2029</v>
      </c>
      <c r="F41" s="141" t="s">
        <v>11</v>
      </c>
      <c r="G41" s="141" t="s">
        <v>12</v>
      </c>
      <c r="H41" s="141"/>
    </row>
    <row r="42" spans="1:8" x14ac:dyDescent="0.3">
      <c r="A42" s="137">
        <v>185</v>
      </c>
      <c r="B42" s="137" t="s">
        <v>468</v>
      </c>
      <c r="C42" s="138" t="s">
        <v>157</v>
      </c>
      <c r="D42" s="139" t="s">
        <v>375</v>
      </c>
      <c r="E42" s="150">
        <v>2066</v>
      </c>
      <c r="F42" s="141" t="s">
        <v>11</v>
      </c>
      <c r="G42" s="141" t="s">
        <v>12</v>
      </c>
      <c r="H42" s="141"/>
    </row>
    <row r="43" spans="1:8" x14ac:dyDescent="0.3">
      <c r="A43" s="137">
        <v>186</v>
      </c>
      <c r="B43" s="137" t="s">
        <v>468</v>
      </c>
      <c r="C43" s="138" t="s">
        <v>157</v>
      </c>
      <c r="D43" s="139" t="s">
        <v>376</v>
      </c>
      <c r="E43" s="150">
        <v>2083</v>
      </c>
      <c r="F43" s="141" t="s">
        <v>11</v>
      </c>
      <c r="G43" s="141" t="s">
        <v>12</v>
      </c>
      <c r="H43" s="141"/>
    </row>
    <row r="44" spans="1:8" x14ac:dyDescent="0.3">
      <c r="A44" s="137">
        <v>187</v>
      </c>
      <c r="B44" s="137" t="s">
        <v>468</v>
      </c>
      <c r="C44" s="138" t="s">
        <v>157</v>
      </c>
      <c r="D44" s="139" t="s">
        <v>377</v>
      </c>
      <c r="E44" s="150">
        <v>4020</v>
      </c>
      <c r="F44" s="141" t="s">
        <v>11</v>
      </c>
      <c r="G44" s="141" t="s">
        <v>12</v>
      </c>
      <c r="H44" s="141"/>
    </row>
    <row r="45" spans="1:8" x14ac:dyDescent="0.3">
      <c r="A45" s="137">
        <v>188</v>
      </c>
      <c r="B45" s="137" t="s">
        <v>468</v>
      </c>
      <c r="C45" s="138" t="s">
        <v>157</v>
      </c>
      <c r="D45" s="139" t="s">
        <v>378</v>
      </c>
      <c r="E45" s="150">
        <v>6061</v>
      </c>
      <c r="F45" s="141" t="s">
        <v>11</v>
      </c>
      <c r="G45" s="141" t="s">
        <v>12</v>
      </c>
      <c r="H45" s="141"/>
    </row>
    <row r="46" spans="1:8" x14ac:dyDescent="0.3">
      <c r="A46" s="137">
        <v>191</v>
      </c>
      <c r="B46" s="137" t="s">
        <v>468</v>
      </c>
      <c r="C46" s="138" t="s">
        <v>157</v>
      </c>
      <c r="D46" s="139" t="s">
        <v>382</v>
      </c>
      <c r="E46" s="150">
        <v>9081</v>
      </c>
      <c r="F46" s="141" t="s">
        <v>11</v>
      </c>
      <c r="G46" s="142" t="s">
        <v>12</v>
      </c>
      <c r="H46" s="142"/>
    </row>
    <row r="47" spans="1:8" x14ac:dyDescent="0.3">
      <c r="A47" s="137">
        <v>192</v>
      </c>
      <c r="B47" s="137" t="s">
        <v>468</v>
      </c>
      <c r="C47" s="138" t="s">
        <v>157</v>
      </c>
      <c r="D47" s="139" t="s">
        <v>383</v>
      </c>
      <c r="E47" s="150">
        <v>10099</v>
      </c>
      <c r="F47" s="141" t="s">
        <v>11</v>
      </c>
      <c r="G47" s="142" t="s">
        <v>12</v>
      </c>
      <c r="H47" s="142"/>
    </row>
    <row r="48" spans="1:8" x14ac:dyDescent="0.3">
      <c r="A48" s="76">
        <v>194</v>
      </c>
      <c r="B48" s="76" t="s">
        <v>468</v>
      </c>
      <c r="C48" s="77" t="s">
        <v>8</v>
      </c>
      <c r="D48" s="78" t="s">
        <v>387</v>
      </c>
      <c r="E48" s="79" t="s">
        <v>388</v>
      </c>
      <c r="F48" s="81" t="s">
        <v>11</v>
      </c>
      <c r="G48" s="80" t="s">
        <v>12</v>
      </c>
      <c r="H48" s="80"/>
    </row>
    <row r="49" spans="1:8" x14ac:dyDescent="0.3">
      <c r="A49" s="76">
        <v>197</v>
      </c>
      <c r="B49" s="76" t="s">
        <v>468</v>
      </c>
      <c r="C49" s="77" t="s">
        <v>8</v>
      </c>
      <c r="D49" s="78" t="s">
        <v>397</v>
      </c>
      <c r="E49" s="79" t="s">
        <v>398</v>
      </c>
      <c r="F49" s="80" t="s">
        <v>11</v>
      </c>
      <c r="G49" s="80" t="s">
        <v>12</v>
      </c>
      <c r="H49" s="80"/>
    </row>
    <row r="50" spans="1:8" x14ac:dyDescent="0.3">
      <c r="A50" s="76">
        <v>198</v>
      </c>
      <c r="B50" s="76" t="s">
        <v>468</v>
      </c>
      <c r="C50" s="77" t="s">
        <v>8</v>
      </c>
      <c r="D50" s="78" t="s">
        <v>400</v>
      </c>
      <c r="E50" s="79" t="s">
        <v>401</v>
      </c>
      <c r="F50" s="80" t="s">
        <v>11</v>
      </c>
      <c r="G50" s="80" t="s">
        <v>12</v>
      </c>
      <c r="H50" s="80"/>
    </row>
    <row r="51" spans="1:8" x14ac:dyDescent="0.3">
      <c r="A51" s="76">
        <v>205</v>
      </c>
      <c r="B51" s="76" t="s">
        <v>468</v>
      </c>
      <c r="C51" s="77" t="s">
        <v>8</v>
      </c>
      <c r="D51" s="78" t="s">
        <v>421</v>
      </c>
      <c r="E51" s="79" t="s">
        <v>422</v>
      </c>
      <c r="F51" s="80" t="s">
        <v>11</v>
      </c>
      <c r="G51" s="80" t="s">
        <v>12</v>
      </c>
      <c r="H51" s="80"/>
    </row>
    <row r="52" spans="1:8" x14ac:dyDescent="0.3">
      <c r="A52" s="76">
        <v>208</v>
      </c>
      <c r="B52" s="76" t="s">
        <v>468</v>
      </c>
      <c r="C52" s="77" t="s">
        <v>8</v>
      </c>
      <c r="D52" s="78" t="s">
        <v>430</v>
      </c>
      <c r="E52" s="85" t="s">
        <v>431</v>
      </c>
      <c r="F52" s="80" t="s">
        <v>11</v>
      </c>
      <c r="G52" s="80" t="s">
        <v>12</v>
      </c>
      <c r="H52" s="80"/>
    </row>
    <row r="53" spans="1:8" x14ac:dyDescent="0.3">
      <c r="A53" s="76">
        <v>209</v>
      </c>
      <c r="B53" s="76" t="s">
        <v>468</v>
      </c>
      <c r="C53" s="77" t="s">
        <v>157</v>
      </c>
      <c r="D53" s="86" t="s">
        <v>433</v>
      </c>
      <c r="E53" s="87" t="s">
        <v>434</v>
      </c>
      <c r="F53" s="88" t="s">
        <v>11</v>
      </c>
      <c r="G53" s="88" t="s">
        <v>12</v>
      </c>
      <c r="H53" s="88"/>
    </row>
    <row r="54" spans="1:8" x14ac:dyDescent="0.3">
      <c r="A54" s="76">
        <v>216</v>
      </c>
      <c r="B54" s="76" t="s">
        <v>468</v>
      </c>
      <c r="C54" s="77" t="s">
        <v>8</v>
      </c>
      <c r="D54" s="86" t="s">
        <v>450</v>
      </c>
      <c r="E54" s="87" t="s">
        <v>451</v>
      </c>
      <c r="F54" s="88" t="s">
        <v>11</v>
      </c>
      <c r="G54" s="88" t="s">
        <v>12</v>
      </c>
      <c r="H54" s="88"/>
    </row>
    <row r="55" spans="1:8" x14ac:dyDescent="0.3">
      <c r="A55" s="76">
        <v>217</v>
      </c>
      <c r="B55" s="76" t="s">
        <v>468</v>
      </c>
      <c r="C55" s="77" t="s">
        <v>8</v>
      </c>
      <c r="D55" s="86" t="s">
        <v>453</v>
      </c>
      <c r="E55" s="87" t="s">
        <v>454</v>
      </c>
      <c r="F55" s="88" t="s">
        <v>11</v>
      </c>
      <c r="G55" s="88" t="s">
        <v>12</v>
      </c>
      <c r="H55" s="88"/>
    </row>
    <row r="56" spans="1:8" x14ac:dyDescent="0.3">
      <c r="A56" s="76">
        <v>218</v>
      </c>
      <c r="B56" s="76" t="s">
        <v>468</v>
      </c>
      <c r="C56" s="77" t="s">
        <v>8</v>
      </c>
      <c r="D56" s="86" t="s">
        <v>456</v>
      </c>
      <c r="E56" s="87" t="s">
        <v>457</v>
      </c>
      <c r="F56" s="88" t="s">
        <v>11</v>
      </c>
      <c r="G56" s="88" t="s">
        <v>12</v>
      </c>
      <c r="H56" s="8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82B48-709B-434D-894F-56987451CED9}">
  <dimension ref="A1:F124"/>
  <sheetViews>
    <sheetView tabSelected="1" workbookViewId="0">
      <selection activeCell="F3" sqref="F3:F112"/>
    </sheetView>
  </sheetViews>
  <sheetFormatPr defaultRowHeight="13.2" x14ac:dyDescent="0.25"/>
  <cols>
    <col min="1" max="1" width="8.88671875" style="188"/>
    <col min="2" max="2" width="6.5546875" style="185" bestFit="1" customWidth="1"/>
    <col min="3" max="3" width="55.5546875" style="185" bestFit="1" customWidth="1"/>
    <col min="4" max="4" width="9.21875" style="195" bestFit="1" customWidth="1"/>
    <col min="5" max="5" width="39.44140625" style="185" bestFit="1" customWidth="1"/>
    <col min="6" max="6" width="9.109375" style="185" bestFit="1" customWidth="1"/>
    <col min="7" max="16384" width="8.88671875" style="185"/>
  </cols>
  <sheetData>
    <row r="1" spans="1:6" x14ac:dyDescent="0.25">
      <c r="B1" s="185" t="s">
        <v>625</v>
      </c>
      <c r="C1" s="185" t="s">
        <v>622</v>
      </c>
      <c r="D1" s="195" t="s">
        <v>753</v>
      </c>
      <c r="E1" s="185" t="s">
        <v>623</v>
      </c>
      <c r="F1" s="185" t="s">
        <v>624</v>
      </c>
    </row>
    <row r="2" spans="1:6" x14ac:dyDescent="0.25">
      <c r="A2" s="188">
        <v>1</v>
      </c>
      <c r="B2" s="183" t="s">
        <v>136</v>
      </c>
      <c r="C2" s="184" t="s">
        <v>741</v>
      </c>
      <c r="D2" s="196">
        <f>+B2-F2</f>
        <v>0</v>
      </c>
      <c r="E2" s="185" t="s">
        <v>135</v>
      </c>
      <c r="F2" s="185" t="s">
        <v>136</v>
      </c>
    </row>
    <row r="3" spans="1:6" x14ac:dyDescent="0.25">
      <c r="B3" s="183"/>
      <c r="C3" s="184"/>
      <c r="D3" s="196">
        <f t="shared" ref="D3:D66" si="0">+B3-F3</f>
        <v>-1003</v>
      </c>
      <c r="E3" s="185" t="s">
        <v>226</v>
      </c>
      <c r="F3" s="185">
        <v>1003</v>
      </c>
    </row>
    <row r="4" spans="1:6" x14ac:dyDescent="0.25">
      <c r="A4" s="188">
        <v>2</v>
      </c>
      <c r="B4" s="183" t="s">
        <v>88</v>
      </c>
      <c r="C4" s="184" t="s">
        <v>719</v>
      </c>
      <c r="D4" s="196">
        <f t="shared" si="0"/>
        <v>0</v>
      </c>
      <c r="E4" s="185" t="s">
        <v>87</v>
      </c>
      <c r="F4" s="185" t="s">
        <v>88</v>
      </c>
    </row>
    <row r="5" spans="1:6" x14ac:dyDescent="0.25">
      <c r="A5" s="188">
        <v>3</v>
      </c>
      <c r="B5" s="183" t="s">
        <v>154</v>
      </c>
      <c r="C5" s="184" t="s">
        <v>635</v>
      </c>
      <c r="D5" s="196">
        <f t="shared" si="0"/>
        <v>0</v>
      </c>
      <c r="E5" s="185" t="s">
        <v>153</v>
      </c>
      <c r="F5" s="185" t="s">
        <v>154</v>
      </c>
    </row>
    <row r="6" spans="1:6" x14ac:dyDescent="0.25">
      <c r="A6" s="188">
        <v>4</v>
      </c>
      <c r="B6" s="183" t="s">
        <v>694</v>
      </c>
      <c r="C6" s="184" t="s">
        <v>695</v>
      </c>
      <c r="D6" s="196">
        <f t="shared" si="0"/>
        <v>0</v>
      </c>
      <c r="E6" s="185" t="s">
        <v>218</v>
      </c>
      <c r="F6" s="185">
        <v>1023</v>
      </c>
    </row>
    <row r="7" spans="1:6" x14ac:dyDescent="0.25">
      <c r="A7" s="188">
        <v>5</v>
      </c>
      <c r="B7" s="183" t="s">
        <v>696</v>
      </c>
      <c r="C7" s="184" t="s">
        <v>697</v>
      </c>
      <c r="D7" s="196">
        <f t="shared" si="0"/>
        <v>0</v>
      </c>
      <c r="E7" s="185" t="s">
        <v>219</v>
      </c>
      <c r="F7" s="185">
        <v>1024</v>
      </c>
    </row>
    <row r="8" spans="1:6" x14ac:dyDescent="0.25">
      <c r="A8" s="188">
        <v>6</v>
      </c>
      <c r="B8" s="183" t="s">
        <v>55</v>
      </c>
      <c r="C8" s="184" t="s">
        <v>658</v>
      </c>
      <c r="D8" s="196">
        <f t="shared" si="0"/>
        <v>0</v>
      </c>
      <c r="E8" s="185" t="s">
        <v>54</v>
      </c>
      <c r="F8" s="185" t="s">
        <v>55</v>
      </c>
    </row>
    <row r="9" spans="1:6" x14ac:dyDescent="0.25">
      <c r="A9" s="188">
        <v>7</v>
      </c>
      <c r="B9" s="194" t="s">
        <v>752</v>
      </c>
      <c r="C9" s="184" t="s">
        <v>748</v>
      </c>
      <c r="D9" s="196">
        <f t="shared" si="0"/>
        <v>0</v>
      </c>
      <c r="E9" s="185" t="s">
        <v>225</v>
      </c>
      <c r="F9" s="185">
        <v>1044</v>
      </c>
    </row>
    <row r="10" spans="1:6" x14ac:dyDescent="0.25">
      <c r="A10" s="188">
        <v>8</v>
      </c>
      <c r="B10" s="183" t="s">
        <v>86</v>
      </c>
      <c r="C10" s="184" t="s">
        <v>712</v>
      </c>
      <c r="D10" s="196">
        <f t="shared" si="0"/>
        <v>0</v>
      </c>
      <c r="E10" s="185" t="s">
        <v>85</v>
      </c>
      <c r="F10" s="185" t="s">
        <v>86</v>
      </c>
    </row>
    <row r="11" spans="1:6" x14ac:dyDescent="0.25">
      <c r="A11" s="188">
        <v>9</v>
      </c>
      <c r="B11" s="183" t="s">
        <v>152</v>
      </c>
      <c r="C11" s="184" t="s">
        <v>686</v>
      </c>
      <c r="D11" s="196">
        <f t="shared" si="0"/>
        <v>0</v>
      </c>
      <c r="E11" s="185" t="s">
        <v>151</v>
      </c>
      <c r="F11" s="185" t="s">
        <v>152</v>
      </c>
    </row>
    <row r="12" spans="1:6" x14ac:dyDescent="0.25">
      <c r="A12" s="188">
        <v>10</v>
      </c>
      <c r="B12" s="183" t="s">
        <v>83</v>
      </c>
      <c r="C12" s="184" t="s">
        <v>710</v>
      </c>
      <c r="D12" s="196">
        <f t="shared" si="0"/>
        <v>0</v>
      </c>
      <c r="E12" s="185" t="s">
        <v>82</v>
      </c>
      <c r="F12" s="185" t="s">
        <v>83</v>
      </c>
    </row>
    <row r="13" spans="1:6" x14ac:dyDescent="0.25">
      <c r="A13" s="188">
        <v>11</v>
      </c>
      <c r="B13" s="183" t="s">
        <v>140</v>
      </c>
      <c r="C13" s="184" t="s">
        <v>633</v>
      </c>
      <c r="D13" s="196">
        <f t="shared" si="0"/>
        <v>0</v>
      </c>
      <c r="E13" s="185" t="s">
        <v>139</v>
      </c>
      <c r="F13" s="185" t="s">
        <v>140</v>
      </c>
    </row>
    <row r="14" spans="1:6" x14ac:dyDescent="0.25">
      <c r="A14" s="188">
        <v>12</v>
      </c>
      <c r="B14" s="183" t="s">
        <v>81</v>
      </c>
      <c r="C14" s="184" t="s">
        <v>740</v>
      </c>
      <c r="D14" s="196">
        <f t="shared" si="0"/>
        <v>0</v>
      </c>
      <c r="E14" s="185" t="s">
        <v>80</v>
      </c>
      <c r="F14" s="185" t="s">
        <v>81</v>
      </c>
    </row>
    <row r="15" spans="1:6" x14ac:dyDescent="0.25">
      <c r="A15" s="188">
        <v>13</v>
      </c>
      <c r="B15" s="183" t="s">
        <v>57</v>
      </c>
      <c r="C15" s="184" t="s">
        <v>634</v>
      </c>
      <c r="D15" s="196">
        <f t="shared" si="0"/>
        <v>0</v>
      </c>
      <c r="E15" s="185" t="s">
        <v>56</v>
      </c>
      <c r="F15" s="185" t="s">
        <v>57</v>
      </c>
    </row>
    <row r="16" spans="1:6" x14ac:dyDescent="0.25">
      <c r="A16" s="188">
        <v>14</v>
      </c>
      <c r="B16" s="183" t="s">
        <v>736</v>
      </c>
      <c r="C16" s="184" t="s">
        <v>737</v>
      </c>
      <c r="D16" s="196">
        <f t="shared" si="0"/>
        <v>0</v>
      </c>
      <c r="E16" s="185" t="s">
        <v>173</v>
      </c>
      <c r="F16" s="185">
        <v>1058</v>
      </c>
    </row>
    <row r="17" spans="1:6" x14ac:dyDescent="0.25">
      <c r="A17" s="188">
        <v>15</v>
      </c>
      <c r="B17" s="183" t="s">
        <v>738</v>
      </c>
      <c r="C17" s="184" t="s">
        <v>737</v>
      </c>
      <c r="D17" s="196">
        <f t="shared" si="0"/>
        <v>0</v>
      </c>
      <c r="E17" s="185" t="s">
        <v>174</v>
      </c>
      <c r="F17" s="185">
        <v>1059</v>
      </c>
    </row>
    <row r="18" spans="1:6" x14ac:dyDescent="0.25">
      <c r="A18" s="188">
        <v>16</v>
      </c>
      <c r="B18" s="183" t="s">
        <v>183</v>
      </c>
      <c r="C18" s="184" t="s">
        <v>693</v>
      </c>
      <c r="D18" s="196">
        <f t="shared" si="0"/>
        <v>0</v>
      </c>
      <c r="E18" s="185" t="s">
        <v>182</v>
      </c>
      <c r="F18" s="185" t="s">
        <v>183</v>
      </c>
    </row>
    <row r="19" spans="1:6" x14ac:dyDescent="0.25">
      <c r="A19" s="188">
        <v>17</v>
      </c>
      <c r="B19" s="183" t="s">
        <v>138</v>
      </c>
      <c r="C19" s="184" t="s">
        <v>742</v>
      </c>
      <c r="D19" s="196">
        <f t="shared" si="0"/>
        <v>0</v>
      </c>
      <c r="E19" s="185" t="s">
        <v>137</v>
      </c>
      <c r="F19" s="185" t="s">
        <v>138</v>
      </c>
    </row>
    <row r="20" spans="1:6" x14ac:dyDescent="0.25">
      <c r="A20" s="188">
        <v>18</v>
      </c>
      <c r="B20" s="183" t="s">
        <v>67</v>
      </c>
      <c r="C20" s="184" t="s">
        <v>660</v>
      </c>
      <c r="D20" s="196">
        <f t="shared" si="0"/>
        <v>0</v>
      </c>
      <c r="E20" s="185" t="s">
        <v>66</v>
      </c>
      <c r="F20" s="185" t="s">
        <v>67</v>
      </c>
    </row>
    <row r="21" spans="1:6" x14ac:dyDescent="0.25">
      <c r="A21" s="188">
        <v>19</v>
      </c>
      <c r="B21" s="183" t="s">
        <v>59</v>
      </c>
      <c r="C21" s="184" t="s">
        <v>659</v>
      </c>
      <c r="D21" s="196">
        <f t="shared" si="0"/>
        <v>0</v>
      </c>
      <c r="E21" s="185" t="s">
        <v>58</v>
      </c>
      <c r="F21" s="185" t="s">
        <v>59</v>
      </c>
    </row>
    <row r="22" spans="1:6" x14ac:dyDescent="0.25">
      <c r="A22" s="188">
        <v>20</v>
      </c>
      <c r="B22" s="183" t="s">
        <v>745</v>
      </c>
      <c r="C22" s="184" t="s">
        <v>746</v>
      </c>
      <c r="D22" s="196">
        <f t="shared" si="0"/>
        <v>0</v>
      </c>
      <c r="E22" s="185" t="s">
        <v>224</v>
      </c>
      <c r="F22" s="185">
        <v>1093</v>
      </c>
    </row>
    <row r="23" spans="1:6" x14ac:dyDescent="0.25">
      <c r="A23" s="188">
        <v>21</v>
      </c>
      <c r="B23" s="183" t="s">
        <v>698</v>
      </c>
      <c r="C23" s="184" t="s">
        <v>699</v>
      </c>
      <c r="D23" s="196">
        <f t="shared" si="0"/>
        <v>0</v>
      </c>
      <c r="E23" s="185" t="s">
        <v>223</v>
      </c>
      <c r="F23" s="185">
        <v>1104</v>
      </c>
    </row>
    <row r="24" spans="1:6" x14ac:dyDescent="0.25">
      <c r="A24" s="188">
        <v>22</v>
      </c>
      <c r="D24" s="196">
        <f t="shared" si="0"/>
        <v>-1138</v>
      </c>
      <c r="E24" s="185" t="s">
        <v>207</v>
      </c>
      <c r="F24" s="185" t="s">
        <v>208</v>
      </c>
    </row>
    <row r="25" spans="1:6" x14ac:dyDescent="0.25">
      <c r="A25" s="188">
        <v>23</v>
      </c>
      <c r="B25" s="183" t="s">
        <v>156</v>
      </c>
      <c r="C25" s="184" t="s">
        <v>709</v>
      </c>
      <c r="D25" s="196">
        <f t="shared" si="0"/>
        <v>0</v>
      </c>
      <c r="E25" s="185" t="s">
        <v>155</v>
      </c>
      <c r="F25" s="185" t="s">
        <v>156</v>
      </c>
    </row>
    <row r="26" spans="1:6" x14ac:dyDescent="0.25">
      <c r="A26" s="188">
        <v>24</v>
      </c>
      <c r="B26" s="183" t="s">
        <v>700</v>
      </c>
      <c r="C26" s="184" t="s">
        <v>701</v>
      </c>
      <c r="D26" s="196">
        <f t="shared" si="0"/>
        <v>0</v>
      </c>
      <c r="E26" s="185" t="s">
        <v>222</v>
      </c>
      <c r="F26" s="185">
        <v>1218</v>
      </c>
    </row>
    <row r="27" spans="1:6" x14ac:dyDescent="0.25">
      <c r="A27" s="188">
        <v>25</v>
      </c>
      <c r="B27" s="183" t="s">
        <v>69</v>
      </c>
      <c r="C27" s="184" t="s">
        <v>661</v>
      </c>
      <c r="D27" s="196">
        <f t="shared" si="0"/>
        <v>0</v>
      </c>
      <c r="E27" s="185" t="s">
        <v>68</v>
      </c>
      <c r="F27" s="185" t="s">
        <v>69</v>
      </c>
    </row>
    <row r="28" spans="1:6" x14ac:dyDescent="0.25">
      <c r="A28" s="188">
        <v>26</v>
      </c>
      <c r="D28" s="196">
        <f t="shared" si="0"/>
        <v>-2092</v>
      </c>
      <c r="E28" s="185" t="s">
        <v>227</v>
      </c>
      <c r="F28" s="185">
        <v>2092</v>
      </c>
    </row>
    <row r="29" spans="1:6" x14ac:dyDescent="0.25">
      <c r="A29" s="188">
        <v>27</v>
      </c>
      <c r="B29" s="183" t="s">
        <v>79</v>
      </c>
      <c r="C29" s="184" t="s">
        <v>739</v>
      </c>
      <c r="D29" s="196">
        <f t="shared" si="0"/>
        <v>0</v>
      </c>
      <c r="E29" s="185" t="s">
        <v>78</v>
      </c>
      <c r="F29" s="185" t="s">
        <v>79</v>
      </c>
    </row>
    <row r="30" spans="1:6" x14ac:dyDescent="0.25">
      <c r="A30" s="188">
        <v>28</v>
      </c>
      <c r="B30" s="183">
        <v>11002</v>
      </c>
      <c r="C30" s="184" t="s">
        <v>647</v>
      </c>
      <c r="D30" s="196">
        <f t="shared" si="0"/>
        <v>0</v>
      </c>
      <c r="E30" s="185" t="s">
        <v>91</v>
      </c>
      <c r="F30" s="185" t="s">
        <v>92</v>
      </c>
    </row>
    <row r="31" spans="1:6" x14ac:dyDescent="0.25">
      <c r="A31" s="188">
        <v>29</v>
      </c>
      <c r="B31" s="183" t="s">
        <v>90</v>
      </c>
      <c r="C31" s="184" t="s">
        <v>711</v>
      </c>
      <c r="D31" s="196">
        <f t="shared" si="0"/>
        <v>0</v>
      </c>
      <c r="E31" s="185" t="s">
        <v>89</v>
      </c>
      <c r="F31" s="185" t="s">
        <v>90</v>
      </c>
    </row>
    <row r="32" spans="1:6" x14ac:dyDescent="0.25">
      <c r="A32" s="188">
        <v>30</v>
      </c>
      <c r="B32" s="183">
        <v>11006</v>
      </c>
      <c r="C32" s="184" t="s">
        <v>720</v>
      </c>
      <c r="D32" s="196">
        <f t="shared" si="0"/>
        <v>0</v>
      </c>
      <c r="E32" s="185" t="s">
        <v>99</v>
      </c>
      <c r="F32" s="185" t="s">
        <v>100</v>
      </c>
    </row>
    <row r="33" spans="1:6" x14ac:dyDescent="0.25">
      <c r="A33" s="188">
        <v>31</v>
      </c>
      <c r="B33" s="183">
        <v>11009</v>
      </c>
      <c r="C33" s="184" t="s">
        <v>717</v>
      </c>
      <c r="D33" s="196">
        <f t="shared" si="0"/>
        <v>0</v>
      </c>
      <c r="E33" s="185" t="s">
        <v>95</v>
      </c>
      <c r="F33" s="185" t="s">
        <v>96</v>
      </c>
    </row>
    <row r="34" spans="1:6" x14ac:dyDescent="0.25">
      <c r="A34" s="188">
        <v>32</v>
      </c>
      <c r="B34" s="183">
        <v>11010</v>
      </c>
      <c r="C34" s="184" t="s">
        <v>718</v>
      </c>
      <c r="D34" s="196">
        <f t="shared" si="0"/>
        <v>0</v>
      </c>
      <c r="E34" s="185" t="s">
        <v>97</v>
      </c>
      <c r="F34" s="185" t="s">
        <v>98</v>
      </c>
    </row>
    <row r="35" spans="1:6" x14ac:dyDescent="0.25">
      <c r="A35" s="188">
        <v>33</v>
      </c>
      <c r="B35" s="183">
        <v>11012</v>
      </c>
      <c r="C35" s="184" t="s">
        <v>677</v>
      </c>
      <c r="D35" s="196">
        <f t="shared" si="0"/>
        <v>0</v>
      </c>
      <c r="E35" s="185" t="s">
        <v>129</v>
      </c>
      <c r="F35" s="185" t="s">
        <v>130</v>
      </c>
    </row>
    <row r="36" spans="1:6" x14ac:dyDescent="0.25">
      <c r="A36" s="188">
        <v>34</v>
      </c>
      <c r="B36" s="183">
        <v>11019</v>
      </c>
      <c r="C36" s="184" t="s">
        <v>673</v>
      </c>
      <c r="D36" s="196">
        <f t="shared" si="0"/>
        <v>0</v>
      </c>
      <c r="E36" s="185" t="s">
        <v>133</v>
      </c>
      <c r="F36" s="185" t="s">
        <v>134</v>
      </c>
    </row>
    <row r="37" spans="1:6" x14ac:dyDescent="0.25">
      <c r="A37" s="188">
        <v>35</v>
      </c>
      <c r="B37" s="183">
        <v>11026</v>
      </c>
      <c r="C37" s="184" t="s">
        <v>643</v>
      </c>
      <c r="D37" s="196">
        <f t="shared" si="0"/>
        <v>0</v>
      </c>
      <c r="E37" s="185" t="s">
        <v>115</v>
      </c>
      <c r="F37" s="185" t="s">
        <v>116</v>
      </c>
    </row>
    <row r="38" spans="1:6" x14ac:dyDescent="0.25">
      <c r="A38" s="188">
        <v>36</v>
      </c>
      <c r="B38" s="183">
        <v>11040</v>
      </c>
      <c r="C38" s="184" t="s">
        <v>674</v>
      </c>
      <c r="D38" s="196">
        <f t="shared" si="0"/>
        <v>0</v>
      </c>
      <c r="E38" s="185" t="s">
        <v>131</v>
      </c>
      <c r="F38" s="185" t="s">
        <v>132</v>
      </c>
    </row>
    <row r="39" spans="1:6" x14ac:dyDescent="0.25">
      <c r="A39" s="188">
        <v>37</v>
      </c>
      <c r="B39" s="183">
        <v>12001</v>
      </c>
      <c r="C39" s="184" t="s">
        <v>721</v>
      </c>
      <c r="D39" s="196">
        <f t="shared" si="0"/>
        <v>0</v>
      </c>
      <c r="E39" s="185" t="s">
        <v>93</v>
      </c>
      <c r="F39" s="185" t="s">
        <v>94</v>
      </c>
    </row>
    <row r="40" spans="1:6" x14ac:dyDescent="0.25">
      <c r="A40" s="188">
        <v>38</v>
      </c>
      <c r="B40" s="183">
        <v>12002</v>
      </c>
      <c r="C40" s="184" t="s">
        <v>648</v>
      </c>
      <c r="D40" s="196">
        <f t="shared" si="0"/>
        <v>0</v>
      </c>
      <c r="E40" s="185" t="s">
        <v>101</v>
      </c>
      <c r="F40" s="185" t="s">
        <v>102</v>
      </c>
    </row>
    <row r="41" spans="1:6" x14ac:dyDescent="0.25">
      <c r="A41" s="188">
        <v>39</v>
      </c>
      <c r="B41" s="183">
        <v>12005</v>
      </c>
      <c r="C41" s="184" t="s">
        <v>714</v>
      </c>
      <c r="D41" s="196">
        <f t="shared" si="0"/>
        <v>0</v>
      </c>
      <c r="E41" s="185" t="s">
        <v>111</v>
      </c>
      <c r="F41" s="185" t="s">
        <v>112</v>
      </c>
    </row>
    <row r="42" spans="1:6" x14ac:dyDescent="0.25">
      <c r="A42" s="188">
        <v>40</v>
      </c>
      <c r="B42" s="183">
        <v>12010</v>
      </c>
      <c r="C42" s="184" t="s">
        <v>715</v>
      </c>
      <c r="D42" s="196">
        <f t="shared" si="0"/>
        <v>0</v>
      </c>
      <c r="E42" s="185" t="s">
        <v>113</v>
      </c>
      <c r="F42" s="185" t="s">
        <v>114</v>
      </c>
    </row>
    <row r="43" spans="1:6" x14ac:dyDescent="0.25">
      <c r="A43" s="188">
        <v>41</v>
      </c>
      <c r="B43" s="183">
        <v>12020</v>
      </c>
      <c r="C43" s="184" t="s">
        <v>716</v>
      </c>
      <c r="D43" s="196">
        <f t="shared" si="0"/>
        <v>0</v>
      </c>
      <c r="E43" s="185" t="s">
        <v>109</v>
      </c>
      <c r="F43" s="185" t="s">
        <v>110</v>
      </c>
    </row>
    <row r="44" spans="1:6" x14ac:dyDescent="0.25">
      <c r="A44" s="188">
        <v>42</v>
      </c>
      <c r="B44" s="183">
        <v>12030</v>
      </c>
      <c r="C44" s="184" t="s">
        <v>645</v>
      </c>
      <c r="D44" s="196">
        <f t="shared" si="0"/>
        <v>0</v>
      </c>
      <c r="E44" s="185" t="s">
        <v>119</v>
      </c>
      <c r="F44" s="185" t="s">
        <v>120</v>
      </c>
    </row>
    <row r="45" spans="1:6" x14ac:dyDescent="0.25">
      <c r="A45" s="188">
        <v>43</v>
      </c>
      <c r="B45" s="183">
        <v>12044</v>
      </c>
      <c r="C45" s="184" t="s">
        <v>692</v>
      </c>
      <c r="D45" s="196">
        <f t="shared" si="0"/>
        <v>0</v>
      </c>
      <c r="E45" s="185" t="s">
        <v>199</v>
      </c>
      <c r="F45" s="185" t="s">
        <v>200</v>
      </c>
    </row>
    <row r="46" spans="1:6" x14ac:dyDescent="0.25">
      <c r="A46" s="188">
        <v>44</v>
      </c>
      <c r="B46" s="192">
        <v>12047</v>
      </c>
      <c r="C46" s="193" t="s">
        <v>644</v>
      </c>
      <c r="D46" s="196">
        <f t="shared" si="0"/>
        <v>0</v>
      </c>
      <c r="E46" s="185" t="s">
        <v>117</v>
      </c>
      <c r="F46" s="185" t="s">
        <v>118</v>
      </c>
    </row>
    <row r="47" spans="1:6" x14ac:dyDescent="0.25">
      <c r="A47" s="188">
        <v>45</v>
      </c>
      <c r="B47" s="192">
        <v>12055</v>
      </c>
      <c r="C47" s="193" t="s">
        <v>651</v>
      </c>
      <c r="D47" s="196">
        <f t="shared" si="0"/>
        <v>0</v>
      </c>
      <c r="E47" s="185" t="s">
        <v>107</v>
      </c>
      <c r="F47" s="185" t="s">
        <v>108</v>
      </c>
    </row>
    <row r="48" spans="1:6" x14ac:dyDescent="0.25">
      <c r="A48" s="188">
        <v>46</v>
      </c>
      <c r="B48" s="183">
        <v>12060</v>
      </c>
      <c r="C48" s="184" t="s">
        <v>649</v>
      </c>
      <c r="D48" s="196">
        <f t="shared" si="0"/>
        <v>0</v>
      </c>
      <c r="E48" s="185" t="s">
        <v>103</v>
      </c>
      <c r="F48" s="185" t="s">
        <v>104</v>
      </c>
    </row>
    <row r="49" spans="1:6" x14ac:dyDescent="0.25">
      <c r="A49" s="188">
        <v>47</v>
      </c>
      <c r="B49" s="183">
        <v>12062</v>
      </c>
      <c r="C49" s="184" t="s">
        <v>650</v>
      </c>
      <c r="D49" s="196">
        <f t="shared" si="0"/>
        <v>0</v>
      </c>
      <c r="E49" s="185" t="s">
        <v>105</v>
      </c>
      <c r="F49" s="185" t="s">
        <v>106</v>
      </c>
    </row>
    <row r="50" spans="1:6" x14ac:dyDescent="0.25">
      <c r="A50" s="188">
        <v>48</v>
      </c>
      <c r="B50" s="183">
        <v>12104</v>
      </c>
      <c r="C50" s="184" t="s">
        <v>646</v>
      </c>
      <c r="D50" s="196">
        <f t="shared" si="0"/>
        <v>0</v>
      </c>
      <c r="E50" s="185" t="s">
        <v>121</v>
      </c>
      <c r="F50" s="185" t="s">
        <v>122</v>
      </c>
    </row>
    <row r="51" spans="1:6" x14ac:dyDescent="0.25">
      <c r="A51" s="188">
        <v>49</v>
      </c>
      <c r="B51" s="183">
        <v>15004</v>
      </c>
      <c r="C51" s="184" t="s">
        <v>678</v>
      </c>
      <c r="D51" s="196">
        <f t="shared" si="0"/>
        <v>0</v>
      </c>
      <c r="E51" s="185" t="s">
        <v>125</v>
      </c>
      <c r="F51" s="185" t="s">
        <v>126</v>
      </c>
    </row>
    <row r="52" spans="1:6" x14ac:dyDescent="0.25">
      <c r="A52" s="188">
        <v>50</v>
      </c>
      <c r="B52" s="183">
        <v>15006</v>
      </c>
      <c r="C52" s="184" t="s">
        <v>675</v>
      </c>
      <c r="D52" s="196">
        <f t="shared" si="0"/>
        <v>0</v>
      </c>
      <c r="E52" s="185" t="s">
        <v>127</v>
      </c>
      <c r="F52" s="185" t="s">
        <v>128</v>
      </c>
    </row>
    <row r="53" spans="1:6" x14ac:dyDescent="0.25">
      <c r="A53" s="188">
        <v>51</v>
      </c>
      <c r="B53" s="183">
        <v>15009</v>
      </c>
      <c r="C53" s="184" t="s">
        <v>676</v>
      </c>
      <c r="D53" s="196">
        <f t="shared" si="0"/>
        <v>0</v>
      </c>
      <c r="E53" s="185" t="s">
        <v>123</v>
      </c>
      <c r="F53" s="185" t="s">
        <v>124</v>
      </c>
    </row>
    <row r="54" spans="1:6" x14ac:dyDescent="0.25">
      <c r="A54" s="188">
        <v>56</v>
      </c>
      <c r="B54" s="183" t="s">
        <v>144</v>
      </c>
      <c r="C54" s="184" t="s">
        <v>726</v>
      </c>
      <c r="D54" s="196">
        <f t="shared" si="0"/>
        <v>0</v>
      </c>
      <c r="E54" s="185" t="s">
        <v>143</v>
      </c>
      <c r="F54" s="185" t="s">
        <v>144</v>
      </c>
    </row>
    <row r="55" spans="1:6" x14ac:dyDescent="0.25">
      <c r="A55" s="188">
        <v>57</v>
      </c>
      <c r="D55" s="196">
        <f t="shared" si="0"/>
        <v>-15014</v>
      </c>
      <c r="E55" s="185" t="s">
        <v>221</v>
      </c>
      <c r="F55" s="185">
        <v>15014</v>
      </c>
    </row>
    <row r="56" spans="1:6" x14ac:dyDescent="0.25">
      <c r="A56" s="188">
        <v>58</v>
      </c>
      <c r="B56" s="183" t="s">
        <v>142</v>
      </c>
      <c r="C56" s="184" t="s">
        <v>725</v>
      </c>
      <c r="D56" s="196">
        <f t="shared" si="0"/>
        <v>0</v>
      </c>
      <c r="E56" s="185" t="s">
        <v>141</v>
      </c>
      <c r="F56" s="185" t="s">
        <v>142</v>
      </c>
    </row>
    <row r="57" spans="1:6" x14ac:dyDescent="0.25">
      <c r="A57" s="188">
        <v>59</v>
      </c>
      <c r="B57" s="183">
        <v>15065</v>
      </c>
      <c r="C57" s="184" t="s">
        <v>751</v>
      </c>
      <c r="D57" s="196">
        <f t="shared" si="0"/>
        <v>0</v>
      </c>
      <c r="E57" s="185" t="s">
        <v>201</v>
      </c>
      <c r="F57" s="185" t="s">
        <v>202</v>
      </c>
    </row>
    <row r="58" spans="1:6" x14ac:dyDescent="0.25">
      <c r="A58" s="188">
        <v>60</v>
      </c>
      <c r="B58" s="183" t="s">
        <v>727</v>
      </c>
      <c r="C58" s="184" t="s">
        <v>728</v>
      </c>
      <c r="D58" s="196">
        <f t="shared" si="0"/>
        <v>0</v>
      </c>
      <c r="E58" s="185" t="s">
        <v>162</v>
      </c>
      <c r="F58" s="185">
        <v>15071</v>
      </c>
    </row>
    <row r="59" spans="1:6" x14ac:dyDescent="0.25">
      <c r="A59" s="188">
        <v>61</v>
      </c>
      <c r="B59" s="185" t="s">
        <v>731</v>
      </c>
      <c r="C59" s="185" t="s">
        <v>732</v>
      </c>
      <c r="D59" s="196">
        <f t="shared" si="0"/>
        <v>0</v>
      </c>
      <c r="E59" s="185" t="s">
        <v>164</v>
      </c>
      <c r="F59" s="185">
        <v>15076</v>
      </c>
    </row>
    <row r="60" spans="1:6" x14ac:dyDescent="0.25">
      <c r="A60" s="188">
        <v>62</v>
      </c>
      <c r="B60" s="185" t="s">
        <v>729</v>
      </c>
      <c r="C60" s="185" t="s">
        <v>730</v>
      </c>
      <c r="D60" s="196">
        <f t="shared" si="0"/>
        <v>0</v>
      </c>
      <c r="E60" s="185" t="s">
        <v>163</v>
      </c>
      <c r="F60" s="185">
        <v>15080</v>
      </c>
    </row>
    <row r="61" spans="1:6" x14ac:dyDescent="0.25">
      <c r="A61" s="188">
        <v>63</v>
      </c>
      <c r="B61" s="183">
        <v>16004</v>
      </c>
      <c r="C61" s="184" t="s">
        <v>690</v>
      </c>
      <c r="D61" s="196">
        <f t="shared" si="0"/>
        <v>0</v>
      </c>
      <c r="E61" s="185" t="s">
        <v>195</v>
      </c>
      <c r="F61" s="185" t="s">
        <v>196</v>
      </c>
    </row>
    <row r="62" spans="1:6" x14ac:dyDescent="0.25">
      <c r="A62" s="188">
        <v>64</v>
      </c>
      <c r="B62" s="183">
        <v>16006</v>
      </c>
      <c r="C62" s="184" t="s">
        <v>691</v>
      </c>
      <c r="D62" s="196">
        <f t="shared" si="0"/>
        <v>0</v>
      </c>
      <c r="E62" s="185" t="s">
        <v>193</v>
      </c>
      <c r="F62" s="185" t="s">
        <v>194</v>
      </c>
    </row>
    <row r="63" spans="1:6" x14ac:dyDescent="0.25">
      <c r="A63" s="188">
        <v>65</v>
      </c>
      <c r="B63" s="183">
        <v>16009</v>
      </c>
      <c r="C63" s="184" t="s">
        <v>688</v>
      </c>
      <c r="D63" s="196">
        <f t="shared" si="0"/>
        <v>0</v>
      </c>
      <c r="E63" s="185" t="s">
        <v>191</v>
      </c>
      <c r="F63" s="185" t="s">
        <v>192</v>
      </c>
    </row>
    <row r="64" spans="1:6" x14ac:dyDescent="0.25">
      <c r="A64" s="188">
        <v>66</v>
      </c>
      <c r="B64" s="183">
        <v>16015</v>
      </c>
      <c r="C64" s="184" t="s">
        <v>689</v>
      </c>
      <c r="D64" s="196">
        <f t="shared" si="0"/>
        <v>0</v>
      </c>
      <c r="E64" s="185" t="s">
        <v>197</v>
      </c>
      <c r="F64" s="185" t="s">
        <v>198</v>
      </c>
    </row>
    <row r="65" spans="1:6" x14ac:dyDescent="0.25">
      <c r="A65" s="188">
        <v>67</v>
      </c>
      <c r="B65" s="183">
        <v>16022</v>
      </c>
      <c r="C65" s="184" t="s">
        <v>750</v>
      </c>
      <c r="D65" s="196">
        <f t="shared" si="0"/>
        <v>0</v>
      </c>
      <c r="E65" s="185" t="s">
        <v>189</v>
      </c>
      <c r="F65" s="185" t="s">
        <v>190</v>
      </c>
    </row>
    <row r="66" spans="1:6" x14ac:dyDescent="0.25">
      <c r="A66" s="188">
        <v>68</v>
      </c>
      <c r="B66" s="183">
        <v>16026</v>
      </c>
      <c r="C66" s="184" t="s">
        <v>707</v>
      </c>
      <c r="D66" s="196">
        <f t="shared" si="0"/>
        <v>0</v>
      </c>
      <c r="E66" s="185" t="s">
        <v>228</v>
      </c>
      <c r="F66" s="185">
        <v>16026</v>
      </c>
    </row>
    <row r="67" spans="1:6" x14ac:dyDescent="0.25">
      <c r="A67" s="188">
        <v>69</v>
      </c>
      <c r="B67" s="183">
        <v>16027</v>
      </c>
      <c r="C67" s="184" t="s">
        <v>708</v>
      </c>
      <c r="D67" s="196">
        <f t="shared" ref="D67:D124" si="1">+B67-F67</f>
        <v>0</v>
      </c>
      <c r="E67" s="185" t="s">
        <v>229</v>
      </c>
      <c r="F67" s="185">
        <v>16027</v>
      </c>
    </row>
    <row r="68" spans="1:6" x14ac:dyDescent="0.25">
      <c r="A68" s="188">
        <v>70</v>
      </c>
      <c r="B68" s="183">
        <v>16033</v>
      </c>
      <c r="C68" s="184" t="s">
        <v>749</v>
      </c>
      <c r="D68" s="196">
        <f t="shared" si="1"/>
        <v>0</v>
      </c>
      <c r="E68" s="185" t="s">
        <v>185</v>
      </c>
      <c r="F68" s="185" t="s">
        <v>186</v>
      </c>
    </row>
    <row r="69" spans="1:6" x14ac:dyDescent="0.25">
      <c r="A69" s="188">
        <v>71</v>
      </c>
      <c r="B69" s="183"/>
      <c r="C69" s="184"/>
      <c r="D69" s="196">
        <f t="shared" si="1"/>
        <v>-16041</v>
      </c>
      <c r="E69" s="185" t="s">
        <v>203</v>
      </c>
      <c r="F69" s="185" t="s">
        <v>204</v>
      </c>
    </row>
    <row r="70" spans="1:6" x14ac:dyDescent="0.25">
      <c r="A70" s="188">
        <v>72</v>
      </c>
      <c r="B70" s="183">
        <v>16044</v>
      </c>
      <c r="C70" s="184" t="s">
        <v>684</v>
      </c>
      <c r="D70" s="196">
        <f t="shared" si="1"/>
        <v>0</v>
      </c>
      <c r="E70" s="185" t="s">
        <v>149</v>
      </c>
      <c r="F70" s="185" t="s">
        <v>150</v>
      </c>
    </row>
    <row r="71" spans="1:6" x14ac:dyDescent="0.25">
      <c r="A71" s="188">
        <v>73</v>
      </c>
      <c r="B71" s="183">
        <v>16067</v>
      </c>
      <c r="C71" s="184" t="s">
        <v>685</v>
      </c>
      <c r="D71" s="196">
        <f t="shared" si="1"/>
        <v>0</v>
      </c>
      <c r="E71" s="185" t="s">
        <v>145</v>
      </c>
      <c r="F71" s="185" t="s">
        <v>146</v>
      </c>
    </row>
    <row r="72" spans="1:6" x14ac:dyDescent="0.25">
      <c r="A72" s="188">
        <v>74</v>
      </c>
      <c r="B72" s="185" t="s">
        <v>148</v>
      </c>
      <c r="C72" s="185" t="s">
        <v>629</v>
      </c>
      <c r="D72" s="196">
        <f t="shared" si="1"/>
        <v>0</v>
      </c>
      <c r="E72" s="185" t="s">
        <v>147</v>
      </c>
      <c r="F72" s="185" t="s">
        <v>148</v>
      </c>
    </row>
    <row r="73" spans="1:6" x14ac:dyDescent="0.25">
      <c r="A73" s="188">
        <v>75</v>
      </c>
      <c r="D73" s="196">
        <f t="shared" si="1"/>
        <v>-16091</v>
      </c>
      <c r="E73" s="185" t="s">
        <v>205</v>
      </c>
      <c r="F73" s="185" t="s">
        <v>206</v>
      </c>
    </row>
    <row r="74" spans="1:6" x14ac:dyDescent="0.25">
      <c r="A74" s="188">
        <v>76</v>
      </c>
      <c r="B74" s="185" t="s">
        <v>734</v>
      </c>
      <c r="C74" s="185" t="s">
        <v>735</v>
      </c>
      <c r="D74" s="196">
        <f t="shared" si="1"/>
        <v>0</v>
      </c>
      <c r="E74" s="185" t="s">
        <v>172</v>
      </c>
      <c r="F74" s="185">
        <v>17007</v>
      </c>
    </row>
    <row r="75" spans="1:6" x14ac:dyDescent="0.25">
      <c r="A75" s="188">
        <v>77</v>
      </c>
      <c r="B75" s="183">
        <v>17010</v>
      </c>
      <c r="C75" s="184" t="s">
        <v>641</v>
      </c>
      <c r="D75" s="196">
        <f t="shared" si="1"/>
        <v>0</v>
      </c>
      <c r="E75" s="185" t="s">
        <v>70</v>
      </c>
      <c r="F75" s="185" t="s">
        <v>71</v>
      </c>
    </row>
    <row r="76" spans="1:6" x14ac:dyDescent="0.25">
      <c r="A76" s="188">
        <v>78</v>
      </c>
      <c r="B76" s="183">
        <v>17016</v>
      </c>
      <c r="C76" s="184" t="s">
        <v>662</v>
      </c>
      <c r="D76" s="196">
        <f t="shared" si="1"/>
        <v>0</v>
      </c>
      <c r="E76" s="185" t="s">
        <v>64</v>
      </c>
      <c r="F76" s="185" t="s">
        <v>65</v>
      </c>
    </row>
    <row r="77" spans="1:6" x14ac:dyDescent="0.25">
      <c r="A77" s="188">
        <v>79</v>
      </c>
      <c r="B77" s="183">
        <v>17017</v>
      </c>
      <c r="C77" s="184" t="s">
        <v>664</v>
      </c>
      <c r="D77" s="196">
        <f t="shared" si="1"/>
        <v>0</v>
      </c>
      <c r="E77" s="185" t="s">
        <v>60</v>
      </c>
      <c r="F77" s="185" t="s">
        <v>61</v>
      </c>
    </row>
    <row r="78" spans="1:6" x14ac:dyDescent="0.25">
      <c r="A78" s="188">
        <v>80</v>
      </c>
      <c r="B78" s="183">
        <v>17024</v>
      </c>
      <c r="C78" s="184" t="s">
        <v>663</v>
      </c>
      <c r="D78" s="196">
        <f t="shared" si="1"/>
        <v>0</v>
      </c>
      <c r="E78" s="185" t="s">
        <v>62</v>
      </c>
      <c r="F78" s="185" t="s">
        <v>63</v>
      </c>
    </row>
    <row r="79" spans="1:6" x14ac:dyDescent="0.25">
      <c r="A79" s="188">
        <v>81</v>
      </c>
      <c r="B79" s="183">
        <v>17041</v>
      </c>
      <c r="C79" s="184" t="s">
        <v>627</v>
      </c>
      <c r="D79" s="196">
        <f t="shared" si="1"/>
        <v>0</v>
      </c>
      <c r="E79" s="185" t="s">
        <v>158</v>
      </c>
      <c r="F79" s="185" t="s">
        <v>159</v>
      </c>
    </row>
    <row r="80" spans="1:6" x14ac:dyDescent="0.25">
      <c r="A80" s="188">
        <v>82</v>
      </c>
      <c r="B80" s="185" t="s">
        <v>159</v>
      </c>
      <c r="C80" s="185" t="s">
        <v>628</v>
      </c>
      <c r="D80" s="196">
        <f t="shared" si="1"/>
        <v>0</v>
      </c>
      <c r="E80" s="185" t="s">
        <v>161</v>
      </c>
      <c r="F80" s="185" t="s">
        <v>159</v>
      </c>
    </row>
    <row r="81" spans="1:6" x14ac:dyDescent="0.25">
      <c r="A81" s="188">
        <v>83</v>
      </c>
      <c r="B81" s="185" t="s">
        <v>665</v>
      </c>
      <c r="C81" s="185" t="s">
        <v>666</v>
      </c>
      <c r="D81" s="196">
        <f t="shared" si="1"/>
        <v>0</v>
      </c>
      <c r="E81" s="185" t="s">
        <v>168</v>
      </c>
      <c r="F81" s="185">
        <v>17047</v>
      </c>
    </row>
    <row r="82" spans="1:6" x14ac:dyDescent="0.25">
      <c r="A82" s="188">
        <v>84</v>
      </c>
      <c r="B82" s="183">
        <v>17061</v>
      </c>
      <c r="C82" s="184" t="s">
        <v>681</v>
      </c>
      <c r="D82" s="196">
        <f t="shared" si="1"/>
        <v>0</v>
      </c>
      <c r="E82" s="185" t="s">
        <v>167</v>
      </c>
      <c r="F82" s="185">
        <v>17061</v>
      </c>
    </row>
    <row r="83" spans="1:6" x14ac:dyDescent="0.25">
      <c r="A83" s="188">
        <v>85</v>
      </c>
      <c r="D83" s="196">
        <f t="shared" si="1"/>
        <v>-17114</v>
      </c>
      <c r="E83" s="185" t="s">
        <v>230</v>
      </c>
      <c r="F83" s="185">
        <v>17114</v>
      </c>
    </row>
    <row r="84" spans="1:6" x14ac:dyDescent="0.25">
      <c r="A84" s="188">
        <v>86</v>
      </c>
      <c r="B84" s="183">
        <v>18001</v>
      </c>
      <c r="C84" s="184" t="s">
        <v>656</v>
      </c>
      <c r="D84" s="196">
        <f t="shared" si="1"/>
        <v>0</v>
      </c>
      <c r="E84" s="185" t="s">
        <v>47</v>
      </c>
      <c r="F84" s="185" t="s">
        <v>48</v>
      </c>
    </row>
    <row r="85" spans="1:6" x14ac:dyDescent="0.25">
      <c r="A85" s="188">
        <v>87</v>
      </c>
      <c r="B85" s="183">
        <v>18002</v>
      </c>
      <c r="C85" s="184" t="s">
        <v>655</v>
      </c>
      <c r="D85" s="196">
        <f t="shared" si="1"/>
        <v>0</v>
      </c>
      <c r="E85" s="185" t="s">
        <v>45</v>
      </c>
      <c r="F85" s="185" t="s">
        <v>46</v>
      </c>
    </row>
    <row r="86" spans="1:6" x14ac:dyDescent="0.25">
      <c r="A86" s="188">
        <v>88</v>
      </c>
      <c r="B86" s="183">
        <v>18004</v>
      </c>
      <c r="C86" s="184" t="s">
        <v>657</v>
      </c>
      <c r="D86" s="196">
        <f t="shared" si="1"/>
        <v>0</v>
      </c>
      <c r="E86" s="185" t="s">
        <v>52</v>
      </c>
      <c r="F86" s="185" t="s">
        <v>53</v>
      </c>
    </row>
    <row r="87" spans="1:6" x14ac:dyDescent="0.25">
      <c r="A87" s="188">
        <v>89</v>
      </c>
      <c r="B87" s="183">
        <v>18005</v>
      </c>
      <c r="C87" s="184" t="s">
        <v>652</v>
      </c>
      <c r="D87" s="196">
        <f t="shared" si="1"/>
        <v>0</v>
      </c>
      <c r="E87" s="185" t="s">
        <v>41</v>
      </c>
      <c r="F87" s="185" t="s">
        <v>42</v>
      </c>
    </row>
    <row r="88" spans="1:6" x14ac:dyDescent="0.25">
      <c r="A88" s="188">
        <v>90</v>
      </c>
      <c r="B88" s="183">
        <v>18009</v>
      </c>
      <c r="C88" s="184" t="s">
        <v>723</v>
      </c>
      <c r="D88" s="196">
        <f t="shared" si="1"/>
        <v>0</v>
      </c>
      <c r="E88" s="185" t="s">
        <v>29</v>
      </c>
      <c r="F88" s="185" t="s">
        <v>30</v>
      </c>
    </row>
    <row r="89" spans="1:6" x14ac:dyDescent="0.25">
      <c r="A89" s="188">
        <v>91</v>
      </c>
      <c r="B89" s="183">
        <v>18015</v>
      </c>
      <c r="C89" s="118" t="s">
        <v>724</v>
      </c>
      <c r="D89" s="196">
        <f t="shared" si="1"/>
        <v>0</v>
      </c>
      <c r="E89" s="185" t="s">
        <v>31</v>
      </c>
      <c r="F89" s="185" t="s">
        <v>32</v>
      </c>
    </row>
    <row r="90" spans="1:6" x14ac:dyDescent="0.25">
      <c r="A90" s="188">
        <v>92</v>
      </c>
      <c r="B90" s="183">
        <v>18016</v>
      </c>
      <c r="C90" s="184" t="s">
        <v>626</v>
      </c>
      <c r="D90" s="196">
        <f t="shared" si="1"/>
        <v>0</v>
      </c>
      <c r="E90" s="185" t="s">
        <v>35</v>
      </c>
      <c r="F90" s="185" t="s">
        <v>36</v>
      </c>
    </row>
    <row r="91" spans="1:6" x14ac:dyDescent="0.25">
      <c r="A91" s="188">
        <v>93</v>
      </c>
      <c r="D91" s="196">
        <f t="shared" si="1"/>
        <v>-18019</v>
      </c>
      <c r="E91" s="185" t="s">
        <v>215</v>
      </c>
      <c r="F91" s="185">
        <v>18019</v>
      </c>
    </row>
    <row r="92" spans="1:6" x14ac:dyDescent="0.25">
      <c r="A92" s="188">
        <v>94</v>
      </c>
      <c r="B92" s="185" t="s">
        <v>40</v>
      </c>
      <c r="C92" s="185" t="s">
        <v>632</v>
      </c>
      <c r="D92" s="196">
        <f t="shared" si="1"/>
        <v>0</v>
      </c>
      <c r="E92" s="185" t="s">
        <v>39</v>
      </c>
      <c r="F92" s="185" t="s">
        <v>40</v>
      </c>
    </row>
    <row r="93" spans="1:6" x14ac:dyDescent="0.25">
      <c r="A93" s="188">
        <v>95</v>
      </c>
      <c r="B93" s="183">
        <v>18022</v>
      </c>
      <c r="C93" s="184" t="s">
        <v>653</v>
      </c>
      <c r="D93" s="196">
        <f t="shared" si="1"/>
        <v>0</v>
      </c>
      <c r="E93" s="185" t="s">
        <v>43</v>
      </c>
      <c r="F93" s="185" t="s">
        <v>44</v>
      </c>
    </row>
    <row r="94" spans="1:6" x14ac:dyDescent="0.25">
      <c r="A94" s="188">
        <v>96</v>
      </c>
      <c r="B94" s="183">
        <v>18037</v>
      </c>
      <c r="C94" s="184" t="s">
        <v>654</v>
      </c>
      <c r="D94" s="196">
        <f t="shared" si="1"/>
        <v>0</v>
      </c>
      <c r="E94" s="185" t="s">
        <v>49</v>
      </c>
      <c r="F94" s="185" t="s">
        <v>50</v>
      </c>
    </row>
    <row r="95" spans="1:6" x14ac:dyDescent="0.25">
      <c r="A95" s="188">
        <v>97</v>
      </c>
      <c r="D95" s="196">
        <f t="shared" si="1"/>
        <v>-18038</v>
      </c>
      <c r="E95" s="185" t="s">
        <v>214</v>
      </c>
      <c r="F95" s="185">
        <v>18038</v>
      </c>
    </row>
    <row r="96" spans="1:6" x14ac:dyDescent="0.25">
      <c r="B96" s="183">
        <v>18039</v>
      </c>
      <c r="C96" s="184" t="s">
        <v>722</v>
      </c>
      <c r="D96" s="196">
        <f t="shared" si="1"/>
        <v>0</v>
      </c>
      <c r="E96" s="185" t="s">
        <v>27</v>
      </c>
      <c r="F96" s="185" t="s">
        <v>28</v>
      </c>
    </row>
    <row r="97" spans="2:6" x14ac:dyDescent="0.25">
      <c r="B97" s="185" t="s">
        <v>38</v>
      </c>
      <c r="C97" s="185" t="s">
        <v>631</v>
      </c>
      <c r="D97" s="196">
        <f t="shared" si="1"/>
        <v>0</v>
      </c>
      <c r="E97" s="185" t="s">
        <v>37</v>
      </c>
      <c r="F97" s="185" t="s">
        <v>38</v>
      </c>
    </row>
    <row r="98" spans="2:6" x14ac:dyDescent="0.25">
      <c r="B98" s="185" t="s">
        <v>34</v>
      </c>
      <c r="C98" s="185" t="s">
        <v>630</v>
      </c>
      <c r="D98" s="196">
        <f t="shared" si="1"/>
        <v>0</v>
      </c>
      <c r="E98" s="185" t="s">
        <v>33</v>
      </c>
      <c r="F98" s="185" t="s">
        <v>34</v>
      </c>
    </row>
    <row r="99" spans="2:6" x14ac:dyDescent="0.25">
      <c r="B99" s="183">
        <v>18080</v>
      </c>
      <c r="C99" s="184" t="s">
        <v>744</v>
      </c>
      <c r="D99" s="196">
        <f t="shared" si="1"/>
        <v>0</v>
      </c>
      <c r="E99" s="185" t="s">
        <v>180</v>
      </c>
      <c r="F99" s="185" t="s">
        <v>181</v>
      </c>
    </row>
    <row r="100" spans="2:6" x14ac:dyDescent="0.25">
      <c r="B100" s="185" t="s">
        <v>667</v>
      </c>
      <c r="C100" s="185" t="s">
        <v>668</v>
      </c>
      <c r="D100" s="196">
        <f t="shared" si="1"/>
        <v>0</v>
      </c>
      <c r="E100" s="185" t="s">
        <v>169</v>
      </c>
      <c r="F100" s="185">
        <v>18098</v>
      </c>
    </row>
    <row r="101" spans="2:6" x14ac:dyDescent="0.25">
      <c r="B101" s="185" t="s">
        <v>669</v>
      </c>
      <c r="C101" s="185" t="s">
        <v>670</v>
      </c>
      <c r="D101" s="196">
        <f t="shared" si="1"/>
        <v>0</v>
      </c>
      <c r="E101" s="185" t="s">
        <v>170</v>
      </c>
      <c r="F101" s="185">
        <v>18099</v>
      </c>
    </row>
    <row r="102" spans="2:6" x14ac:dyDescent="0.25">
      <c r="D102" s="196">
        <f t="shared" si="1"/>
        <v>-19006</v>
      </c>
      <c r="E102" s="185" t="s">
        <v>213</v>
      </c>
      <c r="F102" s="185">
        <v>19006</v>
      </c>
    </row>
    <row r="103" spans="2:6" x14ac:dyDescent="0.25">
      <c r="B103" s="183">
        <v>19013</v>
      </c>
      <c r="C103" s="184" t="s">
        <v>702</v>
      </c>
      <c r="D103" s="196">
        <f t="shared" si="1"/>
        <v>0</v>
      </c>
      <c r="E103" s="185" t="s">
        <v>231</v>
      </c>
      <c r="F103" s="185">
        <v>19013</v>
      </c>
    </row>
    <row r="104" spans="2:6" x14ac:dyDescent="0.25">
      <c r="B104" s="183">
        <v>19014</v>
      </c>
      <c r="C104" s="184" t="s">
        <v>703</v>
      </c>
      <c r="D104" s="196">
        <f t="shared" si="1"/>
        <v>0</v>
      </c>
      <c r="E104" s="185" t="s">
        <v>232</v>
      </c>
      <c r="F104" s="185">
        <v>19014</v>
      </c>
    </row>
    <row r="105" spans="2:6" x14ac:dyDescent="0.25">
      <c r="B105" s="183">
        <v>19015</v>
      </c>
      <c r="C105" s="184" t="s">
        <v>705</v>
      </c>
      <c r="D105" s="196">
        <f t="shared" si="1"/>
        <v>0</v>
      </c>
      <c r="E105" s="185" t="s">
        <v>211</v>
      </c>
      <c r="F105" s="185">
        <v>19015</v>
      </c>
    </row>
    <row r="106" spans="2:6" x14ac:dyDescent="0.25">
      <c r="B106" s="183">
        <v>19017</v>
      </c>
      <c r="C106" s="184" t="s">
        <v>706</v>
      </c>
      <c r="D106" s="196">
        <f t="shared" si="1"/>
        <v>0</v>
      </c>
      <c r="E106" s="185" t="s">
        <v>212</v>
      </c>
      <c r="F106" s="185">
        <v>19017</v>
      </c>
    </row>
    <row r="107" spans="2:6" x14ac:dyDescent="0.25">
      <c r="D107" s="196">
        <f t="shared" si="1"/>
        <v>-19028</v>
      </c>
      <c r="E107" s="185" t="s">
        <v>216</v>
      </c>
      <c r="F107" s="185">
        <v>19028</v>
      </c>
    </row>
    <row r="108" spans="2:6" x14ac:dyDescent="0.25">
      <c r="D108" s="196">
        <f t="shared" si="1"/>
        <v>-19029</v>
      </c>
      <c r="E108" s="185" t="s">
        <v>217</v>
      </c>
      <c r="F108" s="185">
        <v>19029</v>
      </c>
    </row>
    <row r="109" spans="2:6" x14ac:dyDescent="0.25">
      <c r="B109" s="183">
        <v>19054</v>
      </c>
      <c r="C109" s="184" t="s">
        <v>682</v>
      </c>
      <c r="D109" s="196">
        <f t="shared" si="1"/>
        <v>0</v>
      </c>
      <c r="E109" s="185" t="s">
        <v>25</v>
      </c>
      <c r="F109" s="185" t="s">
        <v>26</v>
      </c>
    </row>
    <row r="110" spans="2:6" x14ac:dyDescent="0.25">
      <c r="B110" s="183">
        <v>19055</v>
      </c>
      <c r="C110" s="184" t="s">
        <v>704</v>
      </c>
      <c r="D110" s="196">
        <f t="shared" si="1"/>
        <v>0</v>
      </c>
      <c r="E110" s="185" t="s">
        <v>210</v>
      </c>
      <c r="F110" s="185">
        <v>19055</v>
      </c>
    </row>
    <row r="111" spans="2:6" x14ac:dyDescent="0.25">
      <c r="B111" s="183">
        <v>19057</v>
      </c>
      <c r="C111" s="184" t="s">
        <v>683</v>
      </c>
      <c r="D111" s="196">
        <f t="shared" si="1"/>
        <v>0</v>
      </c>
      <c r="E111" s="185" t="s">
        <v>23</v>
      </c>
      <c r="F111" s="185" t="s">
        <v>24</v>
      </c>
    </row>
    <row r="112" spans="2:6" x14ac:dyDescent="0.25">
      <c r="D112" s="196">
        <f t="shared" si="1"/>
        <v>-19062</v>
      </c>
      <c r="E112" s="185" t="s">
        <v>209</v>
      </c>
      <c r="F112" s="185">
        <v>19062</v>
      </c>
    </row>
    <row r="113" spans="2:6" x14ac:dyDescent="0.25">
      <c r="B113" s="183">
        <v>19066</v>
      </c>
      <c r="C113" s="184" t="s">
        <v>743</v>
      </c>
      <c r="D113" s="196">
        <f t="shared" si="1"/>
        <v>0</v>
      </c>
      <c r="E113" s="185" t="s">
        <v>176</v>
      </c>
      <c r="F113" s="185" t="s">
        <v>177</v>
      </c>
    </row>
    <row r="114" spans="2:6" x14ac:dyDescent="0.25">
      <c r="B114" s="185" t="s">
        <v>671</v>
      </c>
      <c r="C114" s="185" t="s">
        <v>672</v>
      </c>
      <c r="D114" s="196">
        <f t="shared" si="1"/>
        <v>0</v>
      </c>
      <c r="E114" s="185" t="s">
        <v>171</v>
      </c>
      <c r="F114" s="185">
        <v>19077</v>
      </c>
    </row>
    <row r="115" spans="2:6" x14ac:dyDescent="0.25">
      <c r="B115" s="183">
        <v>20008</v>
      </c>
      <c r="C115" s="184" t="s">
        <v>713</v>
      </c>
      <c r="D115" s="196">
        <f t="shared" si="1"/>
        <v>0</v>
      </c>
      <c r="E115" s="185" t="s">
        <v>19</v>
      </c>
      <c r="F115" s="185" t="s">
        <v>20</v>
      </c>
    </row>
    <row r="116" spans="2:6" x14ac:dyDescent="0.25">
      <c r="B116" s="185" t="s">
        <v>73</v>
      </c>
      <c r="C116" s="185" t="s">
        <v>636</v>
      </c>
      <c r="D116" s="196">
        <f t="shared" si="1"/>
        <v>0</v>
      </c>
      <c r="E116" s="185" t="s">
        <v>72</v>
      </c>
      <c r="F116" s="185" t="s">
        <v>73</v>
      </c>
    </row>
    <row r="117" spans="2:6" x14ac:dyDescent="0.25">
      <c r="B117" s="183">
        <v>20010</v>
      </c>
      <c r="C117" s="184" t="s">
        <v>733</v>
      </c>
      <c r="D117" s="196">
        <f t="shared" si="1"/>
        <v>0</v>
      </c>
      <c r="E117" s="185" t="s">
        <v>76</v>
      </c>
      <c r="F117" s="185" t="s">
        <v>77</v>
      </c>
    </row>
    <row r="118" spans="2:6" x14ac:dyDescent="0.25">
      <c r="B118" s="183">
        <v>20012</v>
      </c>
      <c r="C118" s="184" t="s">
        <v>640</v>
      </c>
      <c r="D118" s="196">
        <f t="shared" si="1"/>
        <v>0</v>
      </c>
      <c r="E118" s="185" t="s">
        <v>17</v>
      </c>
      <c r="F118" s="185" t="s">
        <v>18</v>
      </c>
    </row>
    <row r="119" spans="2:6" x14ac:dyDescent="0.25">
      <c r="B119" s="183">
        <v>20028</v>
      </c>
      <c r="C119" s="184" t="s">
        <v>638</v>
      </c>
      <c r="D119" s="196">
        <f t="shared" si="1"/>
        <v>0</v>
      </c>
      <c r="E119" s="185" t="s">
        <v>21</v>
      </c>
      <c r="F119" s="185" t="s">
        <v>22</v>
      </c>
    </row>
    <row r="120" spans="2:6" x14ac:dyDescent="0.25">
      <c r="B120" s="183">
        <v>20029</v>
      </c>
      <c r="C120" s="184" t="s">
        <v>639</v>
      </c>
      <c r="D120" s="196">
        <f t="shared" si="1"/>
        <v>0</v>
      </c>
      <c r="E120" s="185" t="s">
        <v>14</v>
      </c>
      <c r="F120" s="185" t="s">
        <v>15</v>
      </c>
    </row>
    <row r="121" spans="2:6" x14ac:dyDescent="0.25">
      <c r="B121" s="183">
        <v>20034</v>
      </c>
      <c r="C121" s="184" t="s">
        <v>642</v>
      </c>
      <c r="D121" s="196">
        <f t="shared" si="1"/>
        <v>0</v>
      </c>
      <c r="E121" s="185" t="s">
        <v>9</v>
      </c>
      <c r="F121" s="185" t="s">
        <v>10</v>
      </c>
    </row>
    <row r="122" spans="2:6" x14ac:dyDescent="0.25">
      <c r="B122" s="183">
        <v>20036</v>
      </c>
      <c r="C122" s="184" t="s">
        <v>680</v>
      </c>
      <c r="D122" s="196">
        <f t="shared" si="1"/>
        <v>0</v>
      </c>
      <c r="E122" s="185" t="s">
        <v>166</v>
      </c>
      <c r="F122" s="185">
        <v>20036</v>
      </c>
    </row>
    <row r="123" spans="2:6" x14ac:dyDescent="0.25">
      <c r="B123" s="183">
        <v>20061</v>
      </c>
      <c r="C123" s="184" t="s">
        <v>687</v>
      </c>
      <c r="D123" s="196">
        <f t="shared" si="1"/>
        <v>0</v>
      </c>
      <c r="E123" s="185" t="s">
        <v>165</v>
      </c>
      <c r="F123" s="185">
        <v>20061</v>
      </c>
    </row>
    <row r="124" spans="2:6" x14ac:dyDescent="0.25">
      <c r="B124" s="185" t="s">
        <v>75</v>
      </c>
      <c r="C124" s="185" t="s">
        <v>637</v>
      </c>
      <c r="D124" s="196">
        <f t="shared" si="1"/>
        <v>0</v>
      </c>
      <c r="E124" s="185" t="s">
        <v>74</v>
      </c>
      <c r="F124" s="185" t="s">
        <v>75</v>
      </c>
    </row>
  </sheetData>
  <autoFilter ref="A1:F124" xr:uid="{33F30FFB-619C-4EED-BEC8-A765EF077A05}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9D935-E386-49BB-8753-41294E0D6E3D}">
  <dimension ref="A1:F98"/>
  <sheetViews>
    <sheetView topLeftCell="A56" workbookViewId="0">
      <selection activeCell="D69" sqref="D69"/>
    </sheetView>
  </sheetViews>
  <sheetFormatPr defaultRowHeight="13.2" x14ac:dyDescent="0.25"/>
  <cols>
    <col min="1" max="1" width="8.88671875" style="188"/>
    <col min="2" max="2" width="6.5546875" style="185" bestFit="1" customWidth="1"/>
    <col min="3" max="3" width="55.5546875" style="185" bestFit="1" customWidth="1"/>
    <col min="4" max="4" width="8.88671875" style="189"/>
    <col min="5" max="5" width="39.44140625" style="185" bestFit="1" customWidth="1"/>
    <col min="6" max="6" width="9.109375" style="185" bestFit="1" customWidth="1"/>
    <col min="7" max="16384" width="8.88671875" style="185"/>
  </cols>
  <sheetData>
    <row r="1" spans="1:6" x14ac:dyDescent="0.25">
      <c r="B1" s="185" t="s">
        <v>621</v>
      </c>
      <c r="C1" s="185" t="s">
        <v>622</v>
      </c>
      <c r="E1" s="185" t="s">
        <v>623</v>
      </c>
      <c r="F1" s="185" t="s">
        <v>624</v>
      </c>
    </row>
    <row r="2" spans="1:6" x14ac:dyDescent="0.25">
      <c r="A2" s="188">
        <v>1</v>
      </c>
      <c r="B2" s="183">
        <v>1117</v>
      </c>
      <c r="C2" s="184" t="s">
        <v>610</v>
      </c>
      <c r="D2" s="190">
        <f t="shared" ref="D2:D65" si="0">+F2-B2</f>
        <v>0</v>
      </c>
      <c r="E2" s="185" t="s">
        <v>436</v>
      </c>
      <c r="F2" s="185">
        <v>1117</v>
      </c>
    </row>
    <row r="3" spans="1:6" x14ac:dyDescent="0.25">
      <c r="A3" s="188">
        <v>2</v>
      </c>
      <c r="B3" s="183" t="s">
        <v>364</v>
      </c>
      <c r="C3" s="184" t="s">
        <v>519</v>
      </c>
      <c r="D3" s="190">
        <f t="shared" si="0"/>
        <v>0</v>
      </c>
      <c r="E3" s="185" t="s">
        <v>363</v>
      </c>
      <c r="F3" s="185" t="s">
        <v>364</v>
      </c>
    </row>
    <row r="4" spans="1:6" x14ac:dyDescent="0.25">
      <c r="A4" s="188">
        <v>3</v>
      </c>
      <c r="B4" s="183" t="s">
        <v>571</v>
      </c>
      <c r="C4" s="184" t="s">
        <v>572</v>
      </c>
      <c r="D4" s="190">
        <f t="shared" si="0"/>
        <v>0</v>
      </c>
      <c r="E4" s="185" t="s">
        <v>370</v>
      </c>
      <c r="F4" s="185">
        <v>2011</v>
      </c>
    </row>
    <row r="5" spans="1:6" x14ac:dyDescent="0.25">
      <c r="A5" s="188">
        <v>4</v>
      </c>
      <c r="B5" s="183">
        <v>2016</v>
      </c>
      <c r="C5" s="184" t="s">
        <v>619</v>
      </c>
      <c r="D5" s="190">
        <f t="shared" si="0"/>
        <v>0</v>
      </c>
      <c r="E5" s="185" t="s">
        <v>459</v>
      </c>
      <c r="F5" s="185">
        <v>2016</v>
      </c>
    </row>
    <row r="6" spans="1:6" x14ac:dyDescent="0.25">
      <c r="A6" s="188">
        <v>5</v>
      </c>
      <c r="B6" s="183" t="s">
        <v>362</v>
      </c>
      <c r="C6" s="184" t="s">
        <v>525</v>
      </c>
      <c r="D6" s="190">
        <f t="shared" si="0"/>
        <v>0</v>
      </c>
      <c r="E6" s="185" t="s">
        <v>361</v>
      </c>
      <c r="F6" s="185" t="s">
        <v>362</v>
      </c>
    </row>
    <row r="7" spans="1:6" x14ac:dyDescent="0.25">
      <c r="A7" s="188">
        <v>6</v>
      </c>
      <c r="B7" s="183" t="s">
        <v>310</v>
      </c>
      <c r="C7" s="184" t="s">
        <v>539</v>
      </c>
      <c r="D7" s="190">
        <f t="shared" si="0"/>
        <v>0</v>
      </c>
      <c r="E7" s="185" t="s">
        <v>309</v>
      </c>
      <c r="F7" s="185" t="s">
        <v>310</v>
      </c>
    </row>
    <row r="8" spans="1:6" x14ac:dyDescent="0.25">
      <c r="A8" s="188">
        <v>7</v>
      </c>
      <c r="B8" s="183" t="s">
        <v>284</v>
      </c>
      <c r="C8" s="184" t="s">
        <v>530</v>
      </c>
      <c r="D8" s="190">
        <f t="shared" si="0"/>
        <v>0</v>
      </c>
      <c r="E8" s="185" t="s">
        <v>283</v>
      </c>
      <c r="F8" s="185" t="s">
        <v>284</v>
      </c>
    </row>
    <row r="9" spans="1:6" x14ac:dyDescent="0.25">
      <c r="A9" s="188">
        <v>8</v>
      </c>
      <c r="B9" s="183" t="s">
        <v>573</v>
      </c>
      <c r="C9" s="184" t="s">
        <v>574</v>
      </c>
      <c r="D9" s="190">
        <f t="shared" si="0"/>
        <v>0</v>
      </c>
      <c r="E9" s="185" t="s">
        <v>373</v>
      </c>
      <c r="F9" s="185">
        <v>2028</v>
      </c>
    </row>
    <row r="10" spans="1:6" x14ac:dyDescent="0.25">
      <c r="A10" s="188">
        <v>9</v>
      </c>
      <c r="B10" s="183" t="s">
        <v>575</v>
      </c>
      <c r="C10" s="184" t="s">
        <v>576</v>
      </c>
      <c r="D10" s="190">
        <f t="shared" si="0"/>
        <v>0</v>
      </c>
      <c r="E10" s="185" t="s">
        <v>374</v>
      </c>
      <c r="F10" s="185">
        <v>2029</v>
      </c>
    </row>
    <row r="11" spans="1:6" x14ac:dyDescent="0.25">
      <c r="A11" s="188">
        <v>10</v>
      </c>
      <c r="B11" s="183" t="s">
        <v>282</v>
      </c>
      <c r="C11" s="184" t="s">
        <v>532</v>
      </c>
      <c r="D11" s="190">
        <f t="shared" si="0"/>
        <v>0</v>
      </c>
      <c r="E11" s="185" t="s">
        <v>281</v>
      </c>
      <c r="F11" s="185" t="s">
        <v>282</v>
      </c>
    </row>
    <row r="12" spans="1:6" x14ac:dyDescent="0.25">
      <c r="A12" s="188">
        <v>11</v>
      </c>
      <c r="B12" s="183" t="s">
        <v>280</v>
      </c>
      <c r="C12" s="184" t="s">
        <v>531</v>
      </c>
      <c r="D12" s="190">
        <f t="shared" si="0"/>
        <v>0</v>
      </c>
      <c r="E12" s="185" t="s">
        <v>279</v>
      </c>
      <c r="F12" s="185" t="s">
        <v>280</v>
      </c>
    </row>
    <row r="13" spans="1:6" x14ac:dyDescent="0.25">
      <c r="A13" s="188">
        <v>12</v>
      </c>
      <c r="B13" s="183" t="s">
        <v>271</v>
      </c>
      <c r="C13" s="184" t="s">
        <v>528</v>
      </c>
      <c r="D13" s="190">
        <f t="shared" si="0"/>
        <v>0</v>
      </c>
      <c r="E13" s="185" t="s">
        <v>270</v>
      </c>
      <c r="F13" s="185" t="s">
        <v>271</v>
      </c>
    </row>
    <row r="14" spans="1:6" x14ac:dyDescent="0.25">
      <c r="A14" s="188">
        <v>13</v>
      </c>
      <c r="B14" s="183" t="s">
        <v>269</v>
      </c>
      <c r="C14" s="184" t="s">
        <v>527</v>
      </c>
      <c r="D14" s="190">
        <f t="shared" si="0"/>
        <v>0</v>
      </c>
      <c r="E14" s="185" t="s">
        <v>268</v>
      </c>
      <c r="F14" s="185" t="s">
        <v>269</v>
      </c>
    </row>
    <row r="15" spans="1:6" x14ac:dyDescent="0.25">
      <c r="A15" s="188">
        <v>14</v>
      </c>
      <c r="B15" s="183" t="s">
        <v>275</v>
      </c>
      <c r="C15" s="184" t="s">
        <v>526</v>
      </c>
      <c r="D15" s="190">
        <f t="shared" si="0"/>
        <v>0</v>
      </c>
      <c r="E15" s="185" t="s">
        <v>274</v>
      </c>
      <c r="F15" s="185" t="s">
        <v>275</v>
      </c>
    </row>
    <row r="16" spans="1:6" x14ac:dyDescent="0.25">
      <c r="A16" s="188">
        <v>15</v>
      </c>
      <c r="B16" s="183" t="s">
        <v>273</v>
      </c>
      <c r="C16" s="184" t="s">
        <v>521</v>
      </c>
      <c r="D16" s="190">
        <f t="shared" si="0"/>
        <v>0</v>
      </c>
      <c r="E16" s="185" t="s">
        <v>272</v>
      </c>
      <c r="F16" s="185" t="s">
        <v>273</v>
      </c>
    </row>
    <row r="17" spans="1:6" x14ac:dyDescent="0.25">
      <c r="A17" s="188">
        <v>16</v>
      </c>
      <c r="B17" s="186" t="s">
        <v>277</v>
      </c>
      <c r="C17" s="187" t="s">
        <v>529</v>
      </c>
      <c r="D17" s="191">
        <f t="shared" si="0"/>
        <v>0</v>
      </c>
      <c r="E17" s="185" t="s">
        <v>276</v>
      </c>
      <c r="F17" s="185" t="s">
        <v>277</v>
      </c>
    </row>
    <row r="18" spans="1:6" x14ac:dyDescent="0.25">
      <c r="A18" s="188">
        <v>17</v>
      </c>
      <c r="B18" s="186"/>
      <c r="C18" s="187"/>
      <c r="D18" s="191"/>
      <c r="E18" s="185" t="s">
        <v>278</v>
      </c>
      <c r="F18" s="185" t="s">
        <v>277</v>
      </c>
    </row>
    <row r="19" spans="1:6" x14ac:dyDescent="0.25">
      <c r="A19" s="188">
        <v>18</v>
      </c>
      <c r="B19" s="183" t="s">
        <v>265</v>
      </c>
      <c r="C19" s="184" t="s">
        <v>523</v>
      </c>
      <c r="D19" s="190">
        <f t="shared" si="0"/>
        <v>0</v>
      </c>
      <c r="E19" s="185" t="s">
        <v>264</v>
      </c>
      <c r="F19" s="185" t="s">
        <v>265</v>
      </c>
    </row>
    <row r="20" spans="1:6" x14ac:dyDescent="0.25">
      <c r="A20" s="188">
        <v>19</v>
      </c>
      <c r="B20" s="183" t="s">
        <v>577</v>
      </c>
      <c r="C20" s="184" t="s">
        <v>578</v>
      </c>
      <c r="D20" s="190">
        <f t="shared" si="0"/>
        <v>0</v>
      </c>
      <c r="E20" s="185" t="s">
        <v>375</v>
      </c>
      <c r="F20" s="185">
        <v>2066</v>
      </c>
    </row>
    <row r="21" spans="1:6" x14ac:dyDescent="0.25">
      <c r="A21" s="188">
        <v>20</v>
      </c>
      <c r="B21" s="183">
        <v>2074</v>
      </c>
      <c r="C21" s="184" t="s">
        <v>620</v>
      </c>
      <c r="D21" s="190">
        <f t="shared" si="0"/>
        <v>0</v>
      </c>
      <c r="E21" s="185" t="s">
        <v>461</v>
      </c>
      <c r="F21" s="185">
        <v>2074</v>
      </c>
    </row>
    <row r="22" spans="1:6" x14ac:dyDescent="0.25">
      <c r="A22" s="188">
        <v>21</v>
      </c>
      <c r="B22" s="183" t="s">
        <v>267</v>
      </c>
      <c r="C22" s="184" t="s">
        <v>520</v>
      </c>
      <c r="D22" s="190">
        <f t="shared" si="0"/>
        <v>0</v>
      </c>
      <c r="E22" s="185" t="s">
        <v>266</v>
      </c>
      <c r="F22" s="185" t="s">
        <v>267</v>
      </c>
    </row>
    <row r="23" spans="1:6" x14ac:dyDescent="0.25">
      <c r="A23" s="188">
        <v>22</v>
      </c>
      <c r="B23" s="183">
        <v>2079</v>
      </c>
      <c r="C23" s="184" t="s">
        <v>563</v>
      </c>
      <c r="D23" s="190">
        <f t="shared" si="0"/>
        <v>0</v>
      </c>
      <c r="E23" s="185" t="s">
        <v>369</v>
      </c>
      <c r="F23" s="185">
        <v>2079</v>
      </c>
    </row>
    <row r="24" spans="1:6" x14ac:dyDescent="0.25">
      <c r="A24" s="188">
        <v>23</v>
      </c>
      <c r="B24" s="183" t="s">
        <v>579</v>
      </c>
      <c r="C24" s="184" t="s">
        <v>580</v>
      </c>
      <c r="D24" s="190">
        <f t="shared" si="0"/>
        <v>0</v>
      </c>
      <c r="E24" s="185" t="s">
        <v>376</v>
      </c>
      <c r="F24" s="185">
        <v>2083</v>
      </c>
    </row>
    <row r="25" spans="1:6" x14ac:dyDescent="0.25">
      <c r="A25" s="188">
        <v>24</v>
      </c>
      <c r="B25" s="183" t="s">
        <v>451</v>
      </c>
      <c r="C25" s="184" t="s">
        <v>616</v>
      </c>
      <c r="D25" s="190">
        <f t="shared" si="0"/>
        <v>0</v>
      </c>
      <c r="E25" s="185" t="s">
        <v>450</v>
      </c>
      <c r="F25" s="185" t="s">
        <v>451</v>
      </c>
    </row>
    <row r="26" spans="1:6" x14ac:dyDescent="0.25">
      <c r="A26" s="188">
        <v>25</v>
      </c>
      <c r="B26" s="183" t="s">
        <v>306</v>
      </c>
      <c r="C26" s="184" t="s">
        <v>537</v>
      </c>
      <c r="D26" s="190">
        <f t="shared" si="0"/>
        <v>0</v>
      </c>
      <c r="E26" s="185" t="s">
        <v>305</v>
      </c>
      <c r="F26" s="185" t="s">
        <v>306</v>
      </c>
    </row>
    <row r="27" spans="1:6" x14ac:dyDescent="0.25">
      <c r="A27" s="188">
        <v>26</v>
      </c>
      <c r="B27" s="183" t="s">
        <v>288</v>
      </c>
      <c r="C27" s="184" t="s">
        <v>534</v>
      </c>
      <c r="D27" s="190">
        <f t="shared" si="0"/>
        <v>0</v>
      </c>
      <c r="E27" s="185" t="s">
        <v>287</v>
      </c>
      <c r="F27" s="185" t="s">
        <v>288</v>
      </c>
    </row>
    <row r="28" spans="1:6" x14ac:dyDescent="0.25">
      <c r="A28" s="188">
        <v>27</v>
      </c>
      <c r="B28" s="183" t="s">
        <v>286</v>
      </c>
      <c r="C28" s="184" t="s">
        <v>533</v>
      </c>
      <c r="D28" s="190">
        <f t="shared" si="0"/>
        <v>0</v>
      </c>
      <c r="E28" s="185" t="s">
        <v>285</v>
      </c>
      <c r="F28" s="185" t="s">
        <v>286</v>
      </c>
    </row>
    <row r="29" spans="1:6" x14ac:dyDescent="0.25">
      <c r="A29" s="188">
        <v>28</v>
      </c>
      <c r="B29" s="183" t="s">
        <v>308</v>
      </c>
      <c r="C29" s="184" t="s">
        <v>538</v>
      </c>
      <c r="D29" s="190">
        <f t="shared" si="0"/>
        <v>0</v>
      </c>
      <c r="E29" s="185" t="s">
        <v>307</v>
      </c>
      <c r="F29" s="185" t="s">
        <v>308</v>
      </c>
    </row>
    <row r="30" spans="1:6" x14ac:dyDescent="0.25">
      <c r="A30" s="188">
        <v>29</v>
      </c>
      <c r="B30" s="183" t="s">
        <v>407</v>
      </c>
      <c r="C30" s="184" t="s">
        <v>604</v>
      </c>
      <c r="D30" s="190">
        <f t="shared" si="0"/>
        <v>0</v>
      </c>
      <c r="E30" s="185" t="s">
        <v>406</v>
      </c>
      <c r="F30" s="185" t="s">
        <v>407</v>
      </c>
    </row>
    <row r="31" spans="1:6" x14ac:dyDescent="0.25">
      <c r="A31" s="188">
        <v>30</v>
      </c>
      <c r="B31" s="183" t="s">
        <v>292</v>
      </c>
      <c r="C31" s="184" t="s">
        <v>515</v>
      </c>
      <c r="D31" s="190">
        <f t="shared" si="0"/>
        <v>0</v>
      </c>
      <c r="E31" s="185" t="s">
        <v>291</v>
      </c>
      <c r="F31" s="185" t="s">
        <v>292</v>
      </c>
    </row>
    <row r="32" spans="1:6" x14ac:dyDescent="0.25">
      <c r="A32" s="188">
        <v>31</v>
      </c>
      <c r="B32" s="183" t="s">
        <v>290</v>
      </c>
      <c r="C32" s="184" t="s">
        <v>516</v>
      </c>
      <c r="D32" s="190">
        <f t="shared" si="0"/>
        <v>0</v>
      </c>
      <c r="E32" s="185" t="s">
        <v>289</v>
      </c>
      <c r="F32" s="185" t="s">
        <v>290</v>
      </c>
    </row>
    <row r="33" spans="1:6" x14ac:dyDescent="0.25">
      <c r="A33" s="188">
        <v>32</v>
      </c>
      <c r="B33" s="183" t="s">
        <v>294</v>
      </c>
      <c r="C33" s="184" t="s">
        <v>513</v>
      </c>
      <c r="D33" s="190">
        <f t="shared" si="0"/>
        <v>0</v>
      </c>
      <c r="E33" s="185" t="s">
        <v>293</v>
      </c>
      <c r="F33" s="185" t="s">
        <v>294</v>
      </c>
    </row>
    <row r="34" spans="1:6" x14ac:dyDescent="0.25">
      <c r="A34" s="188">
        <v>33</v>
      </c>
      <c r="B34" s="183" t="s">
        <v>296</v>
      </c>
      <c r="C34" s="184" t="s">
        <v>514</v>
      </c>
      <c r="D34" s="190">
        <f t="shared" si="0"/>
        <v>0</v>
      </c>
      <c r="E34" s="185" t="s">
        <v>295</v>
      </c>
      <c r="F34" s="185" t="s">
        <v>296</v>
      </c>
    </row>
    <row r="35" spans="1:6" x14ac:dyDescent="0.25">
      <c r="A35" s="188">
        <v>34</v>
      </c>
      <c r="B35" s="183" t="s">
        <v>304</v>
      </c>
      <c r="C35" s="184" t="s">
        <v>536</v>
      </c>
      <c r="D35" s="190">
        <f t="shared" si="0"/>
        <v>0</v>
      </c>
      <c r="E35" s="185" t="s">
        <v>303</v>
      </c>
      <c r="F35" s="185" t="s">
        <v>304</v>
      </c>
    </row>
    <row r="36" spans="1:6" x14ac:dyDescent="0.25">
      <c r="A36" s="188">
        <v>35</v>
      </c>
      <c r="B36" s="183">
        <v>3097</v>
      </c>
      <c r="C36" s="184" t="s">
        <v>560</v>
      </c>
      <c r="D36" s="190">
        <f t="shared" si="0"/>
        <v>0</v>
      </c>
      <c r="E36" s="185" t="s">
        <v>365</v>
      </c>
      <c r="F36" s="185">
        <v>3097</v>
      </c>
    </row>
    <row r="37" spans="1:6" x14ac:dyDescent="0.25">
      <c r="A37" s="188">
        <v>36</v>
      </c>
      <c r="B37" s="183" t="s">
        <v>314</v>
      </c>
      <c r="C37" s="184" t="s">
        <v>541</v>
      </c>
      <c r="D37" s="190">
        <f t="shared" si="0"/>
        <v>0</v>
      </c>
      <c r="E37" s="185" t="s">
        <v>313</v>
      </c>
      <c r="F37" s="185" t="s">
        <v>314</v>
      </c>
    </row>
    <row r="38" spans="1:6" x14ac:dyDescent="0.25">
      <c r="A38" s="188">
        <v>37</v>
      </c>
      <c r="B38" s="183">
        <v>4006</v>
      </c>
      <c r="C38" s="184" t="s">
        <v>562</v>
      </c>
      <c r="D38" s="190">
        <f t="shared" si="0"/>
        <v>0</v>
      </c>
      <c r="E38" s="185" t="s">
        <v>368</v>
      </c>
      <c r="F38" s="185">
        <v>4006</v>
      </c>
    </row>
    <row r="39" spans="1:6" x14ac:dyDescent="0.25">
      <c r="A39" s="188">
        <v>38</v>
      </c>
      <c r="B39" s="183" t="s">
        <v>385</v>
      </c>
      <c r="C39" s="184" t="s">
        <v>598</v>
      </c>
      <c r="D39" s="190">
        <f t="shared" si="0"/>
        <v>0</v>
      </c>
      <c r="E39" s="185" t="s">
        <v>384</v>
      </c>
      <c r="F39" s="185" t="s">
        <v>385</v>
      </c>
    </row>
    <row r="40" spans="1:6" x14ac:dyDescent="0.25">
      <c r="A40" s="188">
        <v>39</v>
      </c>
      <c r="B40" s="183" t="s">
        <v>581</v>
      </c>
      <c r="C40" s="184" t="s">
        <v>582</v>
      </c>
      <c r="D40" s="190">
        <f t="shared" si="0"/>
        <v>0</v>
      </c>
      <c r="E40" s="185" t="s">
        <v>377</v>
      </c>
      <c r="F40" s="185">
        <v>4020</v>
      </c>
    </row>
    <row r="41" spans="1:6" x14ac:dyDescent="0.25">
      <c r="A41" s="188">
        <v>40</v>
      </c>
      <c r="B41" s="183" t="s">
        <v>312</v>
      </c>
      <c r="C41" s="184" t="s">
        <v>540</v>
      </c>
      <c r="D41" s="190">
        <f t="shared" si="0"/>
        <v>0</v>
      </c>
      <c r="E41" s="185" t="s">
        <v>311</v>
      </c>
      <c r="F41" s="185" t="s">
        <v>312</v>
      </c>
    </row>
    <row r="42" spans="1:6" x14ac:dyDescent="0.25">
      <c r="A42" s="188">
        <v>41</v>
      </c>
      <c r="B42" s="183" t="s">
        <v>298</v>
      </c>
      <c r="C42" s="184" t="s">
        <v>518</v>
      </c>
      <c r="D42" s="190">
        <f t="shared" si="0"/>
        <v>0</v>
      </c>
      <c r="E42" s="185" t="s">
        <v>297</v>
      </c>
      <c r="F42" s="185" t="s">
        <v>298</v>
      </c>
    </row>
    <row r="43" spans="1:6" x14ac:dyDescent="0.25">
      <c r="A43" s="188">
        <v>42</v>
      </c>
      <c r="B43" s="183" t="s">
        <v>330</v>
      </c>
      <c r="C43" s="184" t="s">
        <v>517</v>
      </c>
      <c r="D43" s="190">
        <f t="shared" si="0"/>
        <v>0</v>
      </c>
      <c r="E43" s="185" t="s">
        <v>329</v>
      </c>
      <c r="F43" s="185" t="s">
        <v>330</v>
      </c>
    </row>
    <row r="44" spans="1:6" x14ac:dyDescent="0.25">
      <c r="A44" s="188">
        <v>43</v>
      </c>
      <c r="B44" s="183">
        <v>4123</v>
      </c>
      <c r="C44" s="184" t="s">
        <v>561</v>
      </c>
      <c r="D44" s="190">
        <f t="shared" si="0"/>
        <v>0</v>
      </c>
      <c r="E44" s="185" t="s">
        <v>366</v>
      </c>
      <c r="F44" s="185">
        <v>4123</v>
      </c>
    </row>
    <row r="45" spans="1:6" x14ac:dyDescent="0.25">
      <c r="A45" s="188">
        <v>44</v>
      </c>
      <c r="B45" s="183" t="s">
        <v>569</v>
      </c>
      <c r="C45" s="184" t="s">
        <v>570</v>
      </c>
      <c r="D45" s="190">
        <f t="shared" si="0"/>
        <v>0</v>
      </c>
      <c r="E45" s="185" t="s">
        <v>367</v>
      </c>
      <c r="F45" s="185">
        <v>4124</v>
      </c>
    </row>
    <row r="46" spans="1:6" x14ac:dyDescent="0.25">
      <c r="A46" s="188">
        <v>45</v>
      </c>
      <c r="B46" s="183">
        <v>4140</v>
      </c>
      <c r="C46" s="184" t="s">
        <v>564</v>
      </c>
      <c r="D46" s="190">
        <f t="shared" si="0"/>
        <v>0</v>
      </c>
      <c r="E46" s="185" t="s">
        <v>371</v>
      </c>
      <c r="F46" s="185">
        <v>4140</v>
      </c>
    </row>
    <row r="47" spans="1:6" x14ac:dyDescent="0.25">
      <c r="A47" s="188">
        <v>46</v>
      </c>
      <c r="B47" s="183" t="s">
        <v>300</v>
      </c>
      <c r="C47" s="118" t="s">
        <v>535</v>
      </c>
      <c r="D47" s="190">
        <f t="shared" si="0"/>
        <v>0</v>
      </c>
      <c r="E47" s="185" t="s">
        <v>299</v>
      </c>
      <c r="F47" s="185" t="s">
        <v>300</v>
      </c>
    </row>
    <row r="48" spans="1:6" x14ac:dyDescent="0.25">
      <c r="A48" s="188">
        <v>47</v>
      </c>
      <c r="B48" s="183" t="s">
        <v>322</v>
      </c>
      <c r="C48" s="184" t="s">
        <v>545</v>
      </c>
      <c r="D48" s="190">
        <f t="shared" si="0"/>
        <v>0</v>
      </c>
      <c r="E48" s="185" t="s">
        <v>321</v>
      </c>
      <c r="F48" s="185" t="s">
        <v>322</v>
      </c>
    </row>
    <row r="49" spans="1:6" x14ac:dyDescent="0.25">
      <c r="A49" s="188">
        <v>48</v>
      </c>
      <c r="B49" s="183" t="s">
        <v>320</v>
      </c>
      <c r="C49" s="184" t="s">
        <v>544</v>
      </c>
      <c r="D49" s="190">
        <f t="shared" si="0"/>
        <v>0</v>
      </c>
      <c r="E49" s="185" t="s">
        <v>319</v>
      </c>
      <c r="F49" s="185" t="s">
        <v>320</v>
      </c>
    </row>
    <row r="50" spans="1:6" x14ac:dyDescent="0.25">
      <c r="A50" s="188">
        <v>49</v>
      </c>
      <c r="B50" s="183" t="s">
        <v>316</v>
      </c>
      <c r="C50" s="184" t="s">
        <v>542</v>
      </c>
      <c r="D50" s="190">
        <f t="shared" si="0"/>
        <v>0</v>
      </c>
      <c r="E50" s="185" t="s">
        <v>315</v>
      </c>
      <c r="F50" s="185" t="s">
        <v>316</v>
      </c>
    </row>
    <row r="51" spans="1:6" x14ac:dyDescent="0.25">
      <c r="A51" s="188">
        <v>50</v>
      </c>
      <c r="B51" s="183" t="s">
        <v>326</v>
      </c>
      <c r="C51" s="184" t="s">
        <v>547</v>
      </c>
      <c r="D51" s="190">
        <f t="shared" si="0"/>
        <v>0</v>
      </c>
      <c r="E51" s="185" t="s">
        <v>325</v>
      </c>
      <c r="F51" s="185" t="s">
        <v>326</v>
      </c>
    </row>
    <row r="52" spans="1:6" x14ac:dyDescent="0.25">
      <c r="A52" s="188">
        <v>51</v>
      </c>
      <c r="B52" s="183" t="s">
        <v>328</v>
      </c>
      <c r="C52" s="184" t="s">
        <v>548</v>
      </c>
      <c r="D52" s="190">
        <f t="shared" si="0"/>
        <v>0</v>
      </c>
      <c r="E52" s="185" t="s">
        <v>327</v>
      </c>
      <c r="F52" s="185" t="s">
        <v>328</v>
      </c>
    </row>
    <row r="53" spans="1:6" x14ac:dyDescent="0.25">
      <c r="A53" s="188">
        <v>52</v>
      </c>
      <c r="B53" s="183" t="s">
        <v>318</v>
      </c>
      <c r="C53" s="184" t="s">
        <v>543</v>
      </c>
      <c r="D53" s="190">
        <f t="shared" si="0"/>
        <v>0</v>
      </c>
      <c r="E53" s="185" t="s">
        <v>317</v>
      </c>
      <c r="F53" s="185" t="s">
        <v>318</v>
      </c>
    </row>
    <row r="54" spans="1:6" x14ac:dyDescent="0.25">
      <c r="A54" s="188">
        <v>53</v>
      </c>
      <c r="B54" s="183" t="s">
        <v>324</v>
      </c>
      <c r="C54" s="184" t="s">
        <v>546</v>
      </c>
      <c r="D54" s="190">
        <f t="shared" si="0"/>
        <v>0</v>
      </c>
      <c r="E54" s="185" t="s">
        <v>323</v>
      </c>
      <c r="F54" s="185" t="s">
        <v>324</v>
      </c>
    </row>
    <row r="55" spans="1:6" x14ac:dyDescent="0.25">
      <c r="A55" s="188">
        <v>54</v>
      </c>
      <c r="B55" s="183">
        <v>5106</v>
      </c>
      <c r="C55" s="184" t="s">
        <v>565</v>
      </c>
      <c r="D55" s="190">
        <f t="shared" si="0"/>
        <v>0</v>
      </c>
      <c r="E55" s="185" t="s">
        <v>372</v>
      </c>
      <c r="F55" s="185">
        <v>5106</v>
      </c>
    </row>
    <row r="56" spans="1:6" x14ac:dyDescent="0.25">
      <c r="A56" s="188">
        <v>55</v>
      </c>
      <c r="B56" s="183">
        <v>6008</v>
      </c>
      <c r="C56" s="184" t="s">
        <v>612</v>
      </c>
      <c r="D56" s="190">
        <f t="shared" si="0"/>
        <v>0</v>
      </c>
      <c r="E56" s="185" t="s">
        <v>440</v>
      </c>
      <c r="F56" s="185">
        <v>6008</v>
      </c>
    </row>
    <row r="57" spans="1:6" x14ac:dyDescent="0.25">
      <c r="A57" s="188">
        <v>56</v>
      </c>
      <c r="B57" s="183" t="s">
        <v>457</v>
      </c>
      <c r="C57" s="184" t="s">
        <v>618</v>
      </c>
      <c r="D57" s="190">
        <f t="shared" si="0"/>
        <v>0</v>
      </c>
      <c r="E57" s="185" t="s">
        <v>456</v>
      </c>
      <c r="F57" s="185" t="s">
        <v>457</v>
      </c>
    </row>
    <row r="58" spans="1:6" x14ac:dyDescent="0.25">
      <c r="A58" s="188">
        <v>57</v>
      </c>
      <c r="B58" s="183">
        <v>6019</v>
      </c>
      <c r="C58" s="184" t="s">
        <v>613</v>
      </c>
      <c r="D58" s="190">
        <f t="shared" si="0"/>
        <v>0</v>
      </c>
      <c r="E58" s="185" t="s">
        <v>442</v>
      </c>
      <c r="F58" s="185">
        <v>6019</v>
      </c>
    </row>
    <row r="59" spans="1:6" x14ac:dyDescent="0.25">
      <c r="A59" s="188">
        <v>58</v>
      </c>
      <c r="B59" s="183" t="s">
        <v>388</v>
      </c>
      <c r="C59" s="184" t="s">
        <v>599</v>
      </c>
      <c r="D59" s="190">
        <f t="shared" si="0"/>
        <v>0</v>
      </c>
      <c r="E59" s="185" t="s">
        <v>387</v>
      </c>
      <c r="F59" s="185" t="s">
        <v>388</v>
      </c>
    </row>
    <row r="60" spans="1:6" x14ac:dyDescent="0.25">
      <c r="A60" s="188">
        <v>59</v>
      </c>
      <c r="B60" s="183" t="s">
        <v>583</v>
      </c>
      <c r="C60" s="184" t="s">
        <v>584</v>
      </c>
      <c r="D60" s="190">
        <f t="shared" si="0"/>
        <v>0</v>
      </c>
      <c r="E60" s="185" t="s">
        <v>378</v>
      </c>
      <c r="F60" s="185">
        <v>6061</v>
      </c>
    </row>
    <row r="61" spans="1:6" x14ac:dyDescent="0.25">
      <c r="A61" s="188">
        <v>60</v>
      </c>
      <c r="B61" s="183" t="s">
        <v>445</v>
      </c>
      <c r="C61" s="184" t="s">
        <v>614</v>
      </c>
      <c r="D61" s="190">
        <f t="shared" si="0"/>
        <v>0</v>
      </c>
      <c r="E61" s="185" t="s">
        <v>444</v>
      </c>
      <c r="F61" s="185" t="s">
        <v>445</v>
      </c>
    </row>
    <row r="62" spans="1:6" x14ac:dyDescent="0.25">
      <c r="A62" s="188">
        <v>61</v>
      </c>
      <c r="B62" s="183" t="s">
        <v>585</v>
      </c>
      <c r="C62" s="184" t="s">
        <v>586</v>
      </c>
      <c r="D62" s="190">
        <f t="shared" si="0"/>
        <v>0</v>
      </c>
      <c r="E62" s="185" t="s">
        <v>379</v>
      </c>
      <c r="F62" s="185">
        <v>7057</v>
      </c>
    </row>
    <row r="63" spans="1:6" x14ac:dyDescent="0.25">
      <c r="A63" s="188">
        <v>62</v>
      </c>
      <c r="B63" s="183" t="s">
        <v>587</v>
      </c>
      <c r="C63" s="184" t="s">
        <v>588</v>
      </c>
      <c r="D63" s="190">
        <f t="shared" si="0"/>
        <v>0</v>
      </c>
      <c r="E63" s="185" t="s">
        <v>380</v>
      </c>
      <c r="F63" s="185">
        <v>7060</v>
      </c>
    </row>
    <row r="64" spans="1:6" x14ac:dyDescent="0.25">
      <c r="A64" s="188">
        <v>63</v>
      </c>
      <c r="B64" s="183" t="s">
        <v>332</v>
      </c>
      <c r="C64" s="184" t="s">
        <v>524</v>
      </c>
      <c r="D64" s="190">
        <f t="shared" si="0"/>
        <v>0</v>
      </c>
      <c r="E64" s="185" t="s">
        <v>331</v>
      </c>
      <c r="F64" s="185" t="s">
        <v>332</v>
      </c>
    </row>
    <row r="65" spans="1:6" x14ac:dyDescent="0.25">
      <c r="A65" s="188">
        <v>64</v>
      </c>
      <c r="B65" s="183" t="s">
        <v>344</v>
      </c>
      <c r="C65" s="184" t="s">
        <v>567</v>
      </c>
      <c r="D65" s="190">
        <f t="shared" si="0"/>
        <v>0</v>
      </c>
      <c r="E65" s="185" t="s">
        <v>343</v>
      </c>
      <c r="F65" s="185" t="s">
        <v>344</v>
      </c>
    </row>
    <row r="66" spans="1:6" x14ac:dyDescent="0.25">
      <c r="A66" s="188">
        <v>65</v>
      </c>
      <c r="B66" s="183">
        <v>9004</v>
      </c>
      <c r="C66" s="184" t="s">
        <v>611</v>
      </c>
      <c r="D66" s="190">
        <f t="shared" ref="D66" si="1">+F66-B66</f>
        <v>0</v>
      </c>
      <c r="E66" s="185" t="s">
        <v>438</v>
      </c>
      <c r="F66" s="185">
        <v>9004</v>
      </c>
    </row>
    <row r="67" spans="1:6" x14ac:dyDescent="0.25">
      <c r="A67" s="188">
        <v>66</v>
      </c>
      <c r="B67" s="183" t="s">
        <v>413</v>
      </c>
      <c r="C67" s="184" t="s">
        <v>550</v>
      </c>
      <c r="D67" s="190">
        <f>+F67-B67</f>
        <v>0</v>
      </c>
      <c r="E67" s="185" t="s">
        <v>412</v>
      </c>
      <c r="F67" s="185" t="s">
        <v>413</v>
      </c>
    </row>
    <row r="68" spans="1:6" x14ac:dyDescent="0.25">
      <c r="A68" s="188">
        <v>67</v>
      </c>
      <c r="B68" s="183" t="s">
        <v>302</v>
      </c>
      <c r="C68" s="184" t="s">
        <v>593</v>
      </c>
      <c r="D68" s="190">
        <f t="shared" ref="D68:D98" si="2">+F68-B68</f>
        <v>0</v>
      </c>
      <c r="E68" s="185" t="s">
        <v>301</v>
      </c>
      <c r="F68" s="185" t="s">
        <v>302</v>
      </c>
    </row>
    <row r="69" spans="1:6" x14ac:dyDescent="0.25">
      <c r="A69" s="188">
        <v>68</v>
      </c>
      <c r="B69" s="183" t="s">
        <v>416</v>
      </c>
      <c r="C69" s="184" t="s">
        <v>606</v>
      </c>
      <c r="D69" s="190">
        <f t="shared" si="2"/>
        <v>0</v>
      </c>
      <c r="E69" s="185" t="s">
        <v>415</v>
      </c>
      <c r="F69" s="185" t="s">
        <v>416</v>
      </c>
    </row>
    <row r="70" spans="1:6" x14ac:dyDescent="0.25">
      <c r="A70" s="188">
        <v>69</v>
      </c>
      <c r="B70" s="183" t="s">
        <v>419</v>
      </c>
      <c r="C70" s="184" t="s">
        <v>607</v>
      </c>
      <c r="D70" s="190">
        <f t="shared" si="2"/>
        <v>0</v>
      </c>
      <c r="E70" s="185" t="s">
        <v>418</v>
      </c>
      <c r="F70" s="185" t="s">
        <v>419</v>
      </c>
    </row>
    <row r="71" spans="1:6" x14ac:dyDescent="0.25">
      <c r="A71" s="188">
        <v>70</v>
      </c>
      <c r="B71" s="183" t="s">
        <v>342</v>
      </c>
      <c r="C71" s="184" t="s">
        <v>566</v>
      </c>
      <c r="D71" s="190">
        <f t="shared" si="2"/>
        <v>0</v>
      </c>
      <c r="E71" s="185" t="s">
        <v>341</v>
      </c>
      <c r="F71" s="185" t="s">
        <v>342</v>
      </c>
    </row>
    <row r="72" spans="1:6" x14ac:dyDescent="0.25">
      <c r="A72" s="188">
        <v>71</v>
      </c>
      <c r="B72" s="183" t="s">
        <v>391</v>
      </c>
      <c r="C72" s="184" t="s">
        <v>600</v>
      </c>
      <c r="D72" s="190">
        <f t="shared" si="2"/>
        <v>0</v>
      </c>
      <c r="E72" s="185" t="s">
        <v>390</v>
      </c>
      <c r="F72" s="185" t="s">
        <v>391</v>
      </c>
    </row>
    <row r="73" spans="1:6" x14ac:dyDescent="0.25">
      <c r="A73" s="188">
        <v>72</v>
      </c>
      <c r="B73" s="183" t="s">
        <v>394</v>
      </c>
      <c r="C73" s="184" t="s">
        <v>549</v>
      </c>
      <c r="D73" s="190">
        <f t="shared" si="2"/>
        <v>0</v>
      </c>
      <c r="E73" s="185" t="s">
        <v>393</v>
      </c>
      <c r="F73" s="185" t="s">
        <v>394</v>
      </c>
    </row>
    <row r="74" spans="1:6" x14ac:dyDescent="0.25">
      <c r="A74" s="188">
        <v>73</v>
      </c>
      <c r="B74" s="183" t="s">
        <v>410</v>
      </c>
      <c r="C74" s="184" t="s">
        <v>605</v>
      </c>
      <c r="D74" s="190">
        <f t="shared" si="2"/>
        <v>0</v>
      </c>
      <c r="E74" s="185" t="s">
        <v>409</v>
      </c>
      <c r="F74" s="185" t="s">
        <v>410</v>
      </c>
    </row>
    <row r="75" spans="1:6" x14ac:dyDescent="0.25">
      <c r="A75" s="188">
        <v>74</v>
      </c>
      <c r="B75" s="183" t="s">
        <v>448</v>
      </c>
      <c r="C75" s="184" t="s">
        <v>615</v>
      </c>
      <c r="D75" s="190">
        <f t="shared" si="2"/>
        <v>0</v>
      </c>
      <c r="E75" s="185" t="s">
        <v>447</v>
      </c>
      <c r="F75" s="185" t="s">
        <v>448</v>
      </c>
    </row>
    <row r="76" spans="1:6" x14ac:dyDescent="0.25">
      <c r="A76" s="188">
        <v>75</v>
      </c>
      <c r="B76" s="183" t="s">
        <v>404</v>
      </c>
      <c r="C76" s="184" t="s">
        <v>603</v>
      </c>
      <c r="D76" s="190">
        <f t="shared" si="2"/>
        <v>0</v>
      </c>
      <c r="E76" s="185" t="s">
        <v>403</v>
      </c>
      <c r="F76" s="185" t="s">
        <v>404</v>
      </c>
    </row>
    <row r="77" spans="1:6" x14ac:dyDescent="0.25">
      <c r="A77" s="188">
        <v>76</v>
      </c>
      <c r="B77" s="183" t="s">
        <v>589</v>
      </c>
      <c r="C77" s="184" t="s">
        <v>590</v>
      </c>
      <c r="D77" s="190">
        <f t="shared" si="2"/>
        <v>0</v>
      </c>
      <c r="E77" s="185" t="s">
        <v>382</v>
      </c>
      <c r="F77" s="185">
        <v>9081</v>
      </c>
    </row>
    <row r="78" spans="1:6" x14ac:dyDescent="0.25">
      <c r="A78" s="188">
        <v>77</v>
      </c>
      <c r="B78" s="183" t="s">
        <v>422</v>
      </c>
      <c r="C78" s="184" t="s">
        <v>568</v>
      </c>
      <c r="D78" s="190">
        <f t="shared" si="2"/>
        <v>0</v>
      </c>
      <c r="E78" s="185" t="s">
        <v>421</v>
      </c>
      <c r="F78" s="185" t="s">
        <v>422</v>
      </c>
    </row>
    <row r="79" spans="1:6" x14ac:dyDescent="0.25">
      <c r="A79" s="188">
        <v>78</v>
      </c>
      <c r="B79" s="183" t="s">
        <v>428</v>
      </c>
      <c r="C79" s="184" t="s">
        <v>552</v>
      </c>
      <c r="D79" s="190">
        <f t="shared" si="2"/>
        <v>0</v>
      </c>
      <c r="E79" s="185" t="s">
        <v>427</v>
      </c>
      <c r="F79" s="185" t="s">
        <v>428</v>
      </c>
    </row>
    <row r="80" spans="1:6" x14ac:dyDescent="0.25">
      <c r="A80" s="188">
        <v>79</v>
      </c>
      <c r="B80" s="183" t="s">
        <v>434</v>
      </c>
      <c r="C80" s="184" t="s">
        <v>609</v>
      </c>
      <c r="D80" s="190">
        <f t="shared" si="2"/>
        <v>0</v>
      </c>
      <c r="E80" s="185" t="s">
        <v>433</v>
      </c>
      <c r="F80" s="185" t="s">
        <v>434</v>
      </c>
    </row>
    <row r="81" spans="1:6" x14ac:dyDescent="0.25">
      <c r="A81" s="188">
        <v>80</v>
      </c>
      <c r="B81" s="183" t="s">
        <v>346</v>
      </c>
      <c r="C81" s="184" t="s">
        <v>553</v>
      </c>
      <c r="D81" s="190">
        <f t="shared" si="2"/>
        <v>0</v>
      </c>
      <c r="E81" s="185" t="s">
        <v>345</v>
      </c>
      <c r="F81" s="185" t="s">
        <v>346</v>
      </c>
    </row>
    <row r="82" spans="1:6" x14ac:dyDescent="0.25">
      <c r="A82" s="188">
        <v>81</v>
      </c>
      <c r="B82" s="183" t="s">
        <v>350</v>
      </c>
      <c r="C82" s="184" t="s">
        <v>555</v>
      </c>
      <c r="D82" s="190">
        <f t="shared" si="2"/>
        <v>0</v>
      </c>
      <c r="E82" s="185" t="s">
        <v>349</v>
      </c>
      <c r="F82" s="185" t="s">
        <v>350</v>
      </c>
    </row>
    <row r="83" spans="1:6" x14ac:dyDescent="0.25">
      <c r="A83" s="188">
        <v>82</v>
      </c>
      <c r="B83" s="183" t="s">
        <v>352</v>
      </c>
      <c r="C83" s="184" t="s">
        <v>556</v>
      </c>
      <c r="D83" s="190">
        <f t="shared" si="2"/>
        <v>0</v>
      </c>
      <c r="E83" s="185" t="s">
        <v>351</v>
      </c>
      <c r="F83" s="185" t="s">
        <v>352</v>
      </c>
    </row>
    <row r="84" spans="1:6" x14ac:dyDescent="0.25">
      <c r="A84" s="188">
        <v>83</v>
      </c>
      <c r="B84" s="183" t="s">
        <v>348</v>
      </c>
      <c r="C84" s="184" t="s">
        <v>554</v>
      </c>
      <c r="D84" s="190">
        <f t="shared" si="2"/>
        <v>0</v>
      </c>
      <c r="E84" s="185" t="s">
        <v>347</v>
      </c>
      <c r="F84" s="185" t="s">
        <v>348</v>
      </c>
    </row>
    <row r="85" spans="1:6" x14ac:dyDescent="0.25">
      <c r="A85" s="188">
        <v>84</v>
      </c>
      <c r="B85" s="183" t="s">
        <v>358</v>
      </c>
      <c r="C85" s="184" t="s">
        <v>558</v>
      </c>
      <c r="D85" s="190">
        <f t="shared" si="2"/>
        <v>0</v>
      </c>
      <c r="E85" s="185" t="s">
        <v>357</v>
      </c>
      <c r="F85" s="185" t="s">
        <v>358</v>
      </c>
    </row>
    <row r="86" spans="1:6" x14ac:dyDescent="0.25">
      <c r="A86" s="188">
        <v>85</v>
      </c>
      <c r="B86" s="183" t="s">
        <v>360</v>
      </c>
      <c r="C86" s="184" t="s">
        <v>559</v>
      </c>
      <c r="D86" s="190">
        <f t="shared" si="2"/>
        <v>0</v>
      </c>
      <c r="E86" s="185" t="s">
        <v>359</v>
      </c>
      <c r="F86" s="185" t="s">
        <v>360</v>
      </c>
    </row>
    <row r="87" spans="1:6" x14ac:dyDescent="0.25">
      <c r="A87" s="188">
        <v>86</v>
      </c>
      <c r="B87" s="183" t="s">
        <v>354</v>
      </c>
      <c r="C87" s="184" t="s">
        <v>557</v>
      </c>
      <c r="D87" s="190">
        <f t="shared" si="2"/>
        <v>0</v>
      </c>
      <c r="E87" s="185" t="s">
        <v>353</v>
      </c>
      <c r="F87" s="185" t="s">
        <v>354</v>
      </c>
    </row>
    <row r="88" spans="1:6" x14ac:dyDescent="0.25">
      <c r="A88" s="188">
        <v>87</v>
      </c>
      <c r="B88" s="183" t="s">
        <v>356</v>
      </c>
      <c r="C88" s="184" t="s">
        <v>594</v>
      </c>
      <c r="D88" s="190">
        <f t="shared" si="2"/>
        <v>0</v>
      </c>
      <c r="E88" s="185" t="s">
        <v>355</v>
      </c>
      <c r="F88" s="185" t="s">
        <v>356</v>
      </c>
    </row>
    <row r="89" spans="1:6" x14ac:dyDescent="0.25">
      <c r="A89" s="188">
        <v>88</v>
      </c>
      <c r="B89" s="183" t="s">
        <v>425</v>
      </c>
      <c r="C89" s="184" t="s">
        <v>551</v>
      </c>
      <c r="D89" s="190">
        <f t="shared" si="2"/>
        <v>0</v>
      </c>
      <c r="E89" s="185" t="s">
        <v>424</v>
      </c>
      <c r="F89" s="185" t="s">
        <v>425</v>
      </c>
    </row>
    <row r="90" spans="1:6" x14ac:dyDescent="0.25">
      <c r="A90" s="188">
        <v>89</v>
      </c>
      <c r="B90" s="183" t="s">
        <v>431</v>
      </c>
      <c r="C90" s="184" t="s">
        <v>608</v>
      </c>
      <c r="D90" s="190">
        <f t="shared" si="2"/>
        <v>0</v>
      </c>
      <c r="E90" s="185" t="s">
        <v>430</v>
      </c>
      <c r="F90" s="185" t="s">
        <v>431</v>
      </c>
    </row>
    <row r="91" spans="1:6" x14ac:dyDescent="0.25">
      <c r="A91" s="188">
        <v>90</v>
      </c>
      <c r="B91" s="183" t="s">
        <v>591</v>
      </c>
      <c r="C91" s="184" t="s">
        <v>592</v>
      </c>
      <c r="D91" s="190">
        <f t="shared" si="2"/>
        <v>0</v>
      </c>
      <c r="E91" s="185" t="s">
        <v>383</v>
      </c>
      <c r="F91" s="185">
        <v>10099</v>
      </c>
    </row>
    <row r="92" spans="1:6" x14ac:dyDescent="0.25">
      <c r="A92" s="188">
        <v>91</v>
      </c>
      <c r="B92" s="183" t="s">
        <v>336</v>
      </c>
      <c r="C92" s="184" t="s">
        <v>596</v>
      </c>
      <c r="D92" s="190">
        <f t="shared" si="2"/>
        <v>0</v>
      </c>
      <c r="E92" s="185" t="s">
        <v>335</v>
      </c>
      <c r="F92" s="185" t="s">
        <v>336</v>
      </c>
    </row>
    <row r="93" spans="1:6" x14ac:dyDescent="0.25">
      <c r="A93" s="188">
        <v>92</v>
      </c>
      <c r="B93" s="183" t="s">
        <v>340</v>
      </c>
      <c r="C93" s="184" t="s">
        <v>597</v>
      </c>
      <c r="D93" s="190">
        <f t="shared" si="2"/>
        <v>0</v>
      </c>
      <c r="E93" s="185" t="s">
        <v>339</v>
      </c>
      <c r="F93" s="185" t="s">
        <v>340</v>
      </c>
    </row>
    <row r="94" spans="1:6" x14ac:dyDescent="0.25">
      <c r="A94" s="188">
        <v>93</v>
      </c>
      <c r="B94" s="183" t="s">
        <v>398</v>
      </c>
      <c r="C94" s="184" t="s">
        <v>601</v>
      </c>
      <c r="D94" s="190">
        <f t="shared" si="2"/>
        <v>0</v>
      </c>
      <c r="E94" s="185" t="s">
        <v>397</v>
      </c>
      <c r="F94" s="185" t="s">
        <v>398</v>
      </c>
    </row>
    <row r="95" spans="1:6" x14ac:dyDescent="0.25">
      <c r="A95" s="188">
        <v>94</v>
      </c>
      <c r="B95" s="183" t="s">
        <v>338</v>
      </c>
      <c r="C95" s="184" t="s">
        <v>595</v>
      </c>
      <c r="D95" s="190">
        <f t="shared" si="2"/>
        <v>0</v>
      </c>
      <c r="E95" s="185" t="s">
        <v>337</v>
      </c>
      <c r="F95" s="185" t="s">
        <v>338</v>
      </c>
    </row>
    <row r="96" spans="1:6" x14ac:dyDescent="0.25">
      <c r="A96" s="188">
        <v>95</v>
      </c>
      <c r="B96" s="183" t="s">
        <v>401</v>
      </c>
      <c r="C96" s="184" t="s">
        <v>602</v>
      </c>
      <c r="D96" s="190">
        <f t="shared" si="2"/>
        <v>0</v>
      </c>
      <c r="E96" s="185" t="s">
        <v>400</v>
      </c>
      <c r="F96" s="185" t="s">
        <v>401</v>
      </c>
    </row>
    <row r="97" spans="1:6" x14ac:dyDescent="0.25">
      <c r="A97" s="188">
        <v>96</v>
      </c>
      <c r="B97" s="183" t="s">
        <v>454</v>
      </c>
      <c r="C97" s="184" t="s">
        <v>617</v>
      </c>
      <c r="D97" s="190">
        <f t="shared" si="2"/>
        <v>0</v>
      </c>
      <c r="E97" s="185" t="s">
        <v>453</v>
      </c>
      <c r="F97" s="185" t="s">
        <v>454</v>
      </c>
    </row>
    <row r="98" spans="1:6" x14ac:dyDescent="0.25">
      <c r="A98" s="188">
        <v>97</v>
      </c>
      <c r="B98" s="183" t="s">
        <v>334</v>
      </c>
      <c r="C98" s="184" t="s">
        <v>522</v>
      </c>
      <c r="D98" s="190">
        <f t="shared" si="2"/>
        <v>0</v>
      </c>
      <c r="E98" s="185" t="s">
        <v>333</v>
      </c>
      <c r="F98" s="185" t="s">
        <v>334</v>
      </c>
    </row>
  </sheetData>
  <mergeCells count="3">
    <mergeCell ref="B17:B18"/>
    <mergeCell ref="C17:C18"/>
    <mergeCell ref="D17:D18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1E980-1688-407E-BE59-BC491AAE5448}">
  <dimension ref="A1:B124"/>
  <sheetViews>
    <sheetView workbookViewId="0">
      <selection activeCell="A2" sqref="A2:B112"/>
    </sheetView>
  </sheetViews>
  <sheetFormatPr defaultRowHeight="14.4" x14ac:dyDescent="0.3"/>
  <sheetData>
    <row r="1" spans="1:2" x14ac:dyDescent="0.3">
      <c r="A1" s="185" t="s">
        <v>621</v>
      </c>
      <c r="B1" s="185" t="s">
        <v>622</v>
      </c>
    </row>
    <row r="2" spans="1:2" x14ac:dyDescent="0.3">
      <c r="A2" s="10">
        <v>11002</v>
      </c>
      <c r="B2" s="30" t="s">
        <v>647</v>
      </c>
    </row>
    <row r="3" spans="1:2" x14ac:dyDescent="0.3">
      <c r="A3" s="10">
        <v>11006</v>
      </c>
      <c r="B3" s="11" t="s">
        <v>720</v>
      </c>
    </row>
    <row r="4" spans="1:2" x14ac:dyDescent="0.3">
      <c r="A4" s="10">
        <v>11009</v>
      </c>
      <c r="B4" s="11" t="s">
        <v>717</v>
      </c>
    </row>
    <row r="5" spans="1:2" x14ac:dyDescent="0.3">
      <c r="A5" s="10">
        <v>11010</v>
      </c>
      <c r="B5" s="11" t="s">
        <v>718</v>
      </c>
    </row>
    <row r="6" spans="1:2" x14ac:dyDescent="0.3">
      <c r="A6" s="10">
        <v>11012</v>
      </c>
      <c r="B6" s="11" t="s">
        <v>677</v>
      </c>
    </row>
    <row r="7" spans="1:2" x14ac:dyDescent="0.3">
      <c r="A7" s="10">
        <v>11019</v>
      </c>
      <c r="B7" s="11" t="s">
        <v>673</v>
      </c>
    </row>
    <row r="8" spans="1:2" x14ac:dyDescent="0.3">
      <c r="A8" s="10">
        <v>11026</v>
      </c>
      <c r="B8" s="30" t="s">
        <v>643</v>
      </c>
    </row>
    <row r="9" spans="1:2" x14ac:dyDescent="0.3">
      <c r="A9" s="10">
        <v>11040</v>
      </c>
      <c r="B9" s="30" t="s">
        <v>674</v>
      </c>
    </row>
    <row r="10" spans="1:2" x14ac:dyDescent="0.3">
      <c r="A10" s="10">
        <v>12001</v>
      </c>
      <c r="B10" s="11" t="s">
        <v>721</v>
      </c>
    </row>
    <row r="11" spans="1:2" x14ac:dyDescent="0.3">
      <c r="A11" s="10">
        <v>12002</v>
      </c>
      <c r="B11" s="30" t="s">
        <v>648</v>
      </c>
    </row>
    <row r="12" spans="1:2" x14ac:dyDescent="0.3">
      <c r="A12" s="10">
        <v>12005</v>
      </c>
      <c r="B12" s="11" t="s">
        <v>714</v>
      </c>
    </row>
    <row r="13" spans="1:2" x14ac:dyDescent="0.3">
      <c r="A13" s="10">
        <v>12010</v>
      </c>
      <c r="B13" s="11" t="s">
        <v>715</v>
      </c>
    </row>
    <row r="14" spans="1:2" x14ac:dyDescent="0.3">
      <c r="A14" s="10">
        <v>12020</v>
      </c>
      <c r="B14" s="11" t="s">
        <v>716</v>
      </c>
    </row>
    <row r="15" spans="1:2" x14ac:dyDescent="0.3">
      <c r="A15" s="10">
        <v>12030</v>
      </c>
      <c r="B15" s="30" t="s">
        <v>645</v>
      </c>
    </row>
    <row r="16" spans="1:2" x14ac:dyDescent="0.3">
      <c r="A16" s="10">
        <v>12044</v>
      </c>
      <c r="B16" s="11" t="s">
        <v>692</v>
      </c>
    </row>
    <row r="17" spans="1:2" x14ac:dyDescent="0.3">
      <c r="A17" s="10">
        <v>12047</v>
      </c>
      <c r="B17" s="30" t="s">
        <v>644</v>
      </c>
    </row>
    <row r="18" spans="1:2" x14ac:dyDescent="0.3">
      <c r="A18" s="10">
        <v>12055</v>
      </c>
      <c r="B18" s="30" t="s">
        <v>651</v>
      </c>
    </row>
    <row r="19" spans="1:2" x14ac:dyDescent="0.3">
      <c r="A19" s="10">
        <v>12060</v>
      </c>
      <c r="B19" s="30" t="s">
        <v>649</v>
      </c>
    </row>
    <row r="20" spans="1:2" x14ac:dyDescent="0.3">
      <c r="A20" s="10">
        <v>12062</v>
      </c>
      <c r="B20" s="30" t="s">
        <v>650</v>
      </c>
    </row>
    <row r="21" spans="1:2" x14ac:dyDescent="0.3">
      <c r="A21" s="10">
        <v>12104</v>
      </c>
      <c r="B21" s="30" t="s">
        <v>646</v>
      </c>
    </row>
    <row r="22" spans="1:2" x14ac:dyDescent="0.3">
      <c r="A22" s="10">
        <v>15004</v>
      </c>
      <c r="B22" s="11" t="s">
        <v>678</v>
      </c>
    </row>
    <row r="23" spans="1:2" x14ac:dyDescent="0.3">
      <c r="A23" s="10">
        <v>15006</v>
      </c>
      <c r="B23" s="11" t="s">
        <v>675</v>
      </c>
    </row>
    <row r="24" spans="1:2" x14ac:dyDescent="0.3">
      <c r="A24" s="10">
        <v>15009</v>
      </c>
      <c r="B24" s="30" t="s">
        <v>676</v>
      </c>
    </row>
    <row r="25" spans="1:2" x14ac:dyDescent="0.3">
      <c r="A25" s="10">
        <v>15065</v>
      </c>
      <c r="B25" s="11" t="s">
        <v>751</v>
      </c>
    </row>
    <row r="26" spans="1:2" x14ac:dyDescent="0.3">
      <c r="A26" s="10">
        <v>16004</v>
      </c>
      <c r="B26" s="11" t="s">
        <v>690</v>
      </c>
    </row>
    <row r="27" spans="1:2" x14ac:dyDescent="0.3">
      <c r="A27" s="10">
        <v>16006</v>
      </c>
      <c r="B27" s="11" t="s">
        <v>691</v>
      </c>
    </row>
    <row r="28" spans="1:2" x14ac:dyDescent="0.3">
      <c r="A28" s="10">
        <v>16009</v>
      </c>
      <c r="B28" s="11" t="s">
        <v>688</v>
      </c>
    </row>
    <row r="29" spans="1:2" x14ac:dyDescent="0.3">
      <c r="A29" s="10">
        <v>16015</v>
      </c>
      <c r="B29" s="11" t="s">
        <v>689</v>
      </c>
    </row>
    <row r="30" spans="1:2" x14ac:dyDescent="0.3">
      <c r="A30" s="10">
        <v>16022</v>
      </c>
      <c r="B30" s="11" t="s">
        <v>750</v>
      </c>
    </row>
    <row r="31" spans="1:2" x14ac:dyDescent="0.3">
      <c r="A31" s="10">
        <v>16026</v>
      </c>
      <c r="B31" s="11" t="s">
        <v>707</v>
      </c>
    </row>
    <row r="32" spans="1:2" x14ac:dyDescent="0.3">
      <c r="A32" s="10">
        <v>16027</v>
      </c>
      <c r="B32" s="11" t="s">
        <v>708</v>
      </c>
    </row>
    <row r="33" spans="1:2" x14ac:dyDescent="0.3">
      <c r="A33" s="10">
        <v>16033</v>
      </c>
      <c r="B33" s="11" t="s">
        <v>749</v>
      </c>
    </row>
    <row r="34" spans="1:2" x14ac:dyDescent="0.3">
      <c r="A34" s="10">
        <v>16044</v>
      </c>
      <c r="B34" s="11" t="s">
        <v>684</v>
      </c>
    </row>
    <row r="35" spans="1:2" x14ac:dyDescent="0.3">
      <c r="A35" s="10">
        <v>16067</v>
      </c>
      <c r="B35" s="11" t="s">
        <v>685</v>
      </c>
    </row>
    <row r="36" spans="1:2" x14ac:dyDescent="0.3">
      <c r="A36" s="10">
        <v>17010</v>
      </c>
      <c r="B36" s="30" t="s">
        <v>641</v>
      </c>
    </row>
    <row r="37" spans="1:2" x14ac:dyDescent="0.3">
      <c r="A37" s="10">
        <v>17016</v>
      </c>
      <c r="B37" s="11" t="s">
        <v>662</v>
      </c>
    </row>
    <row r="38" spans="1:2" x14ac:dyDescent="0.3">
      <c r="A38" s="10">
        <v>17017</v>
      </c>
      <c r="B38" s="30" t="s">
        <v>664</v>
      </c>
    </row>
    <row r="39" spans="1:2" x14ac:dyDescent="0.3">
      <c r="A39" s="10">
        <v>17024</v>
      </c>
      <c r="B39" s="11" t="s">
        <v>663</v>
      </c>
    </row>
    <row r="40" spans="1:2" x14ac:dyDescent="0.3">
      <c r="A40" s="10">
        <v>17041</v>
      </c>
      <c r="B40" s="30" t="s">
        <v>627</v>
      </c>
    </row>
    <row r="41" spans="1:2" x14ac:dyDescent="0.3">
      <c r="A41" s="10">
        <v>17061</v>
      </c>
      <c r="B41" s="30" t="s">
        <v>681</v>
      </c>
    </row>
    <row r="42" spans="1:2" x14ac:dyDescent="0.3">
      <c r="A42" s="10">
        <v>18001</v>
      </c>
      <c r="B42" s="30" t="s">
        <v>656</v>
      </c>
    </row>
    <row r="43" spans="1:2" x14ac:dyDescent="0.3">
      <c r="A43" s="10">
        <v>18002</v>
      </c>
      <c r="B43" s="30" t="s">
        <v>655</v>
      </c>
    </row>
    <row r="44" spans="1:2" x14ac:dyDescent="0.3">
      <c r="A44" s="10">
        <v>18004</v>
      </c>
      <c r="B44" s="30" t="s">
        <v>657</v>
      </c>
    </row>
    <row r="45" spans="1:2" x14ac:dyDescent="0.3">
      <c r="A45" s="10">
        <v>18005</v>
      </c>
      <c r="B45" s="30" t="s">
        <v>652</v>
      </c>
    </row>
    <row r="46" spans="1:2" x14ac:dyDescent="0.3">
      <c r="A46" s="10">
        <v>18009</v>
      </c>
      <c r="B46" s="11" t="s">
        <v>723</v>
      </c>
    </row>
    <row r="47" spans="1:2" x14ac:dyDescent="0.3">
      <c r="A47" s="10">
        <v>18015</v>
      </c>
      <c r="B47" s="30" t="s">
        <v>724</v>
      </c>
    </row>
    <row r="48" spans="1:2" x14ac:dyDescent="0.3">
      <c r="A48" s="10">
        <v>18016</v>
      </c>
      <c r="B48" s="30" t="s">
        <v>626</v>
      </c>
    </row>
    <row r="49" spans="1:2" x14ac:dyDescent="0.3">
      <c r="A49" s="10">
        <v>18022</v>
      </c>
      <c r="B49" s="30" t="s">
        <v>653</v>
      </c>
    </row>
    <row r="50" spans="1:2" x14ac:dyDescent="0.3">
      <c r="A50" s="10">
        <v>18037</v>
      </c>
      <c r="B50" s="30" t="s">
        <v>654</v>
      </c>
    </row>
    <row r="51" spans="1:2" x14ac:dyDescent="0.3">
      <c r="A51" s="10">
        <v>18039</v>
      </c>
      <c r="B51" s="30" t="s">
        <v>722</v>
      </c>
    </row>
    <row r="52" spans="1:2" x14ac:dyDescent="0.3">
      <c r="A52" s="10">
        <v>18080</v>
      </c>
      <c r="B52" s="11" t="s">
        <v>744</v>
      </c>
    </row>
    <row r="53" spans="1:2" x14ac:dyDescent="0.3">
      <c r="A53" s="10">
        <v>19013</v>
      </c>
      <c r="B53" s="11" t="s">
        <v>702</v>
      </c>
    </row>
    <row r="54" spans="1:2" x14ac:dyDescent="0.3">
      <c r="A54" s="10">
        <v>19014</v>
      </c>
      <c r="B54" s="11" t="s">
        <v>703</v>
      </c>
    </row>
    <row r="55" spans="1:2" x14ac:dyDescent="0.3">
      <c r="A55" s="10">
        <v>19015</v>
      </c>
      <c r="B55" s="11" t="s">
        <v>705</v>
      </c>
    </row>
    <row r="56" spans="1:2" x14ac:dyDescent="0.3">
      <c r="A56" s="10">
        <v>19017</v>
      </c>
      <c r="B56" s="11" t="s">
        <v>706</v>
      </c>
    </row>
    <row r="57" spans="1:2" x14ac:dyDescent="0.3">
      <c r="A57" s="10">
        <v>19054</v>
      </c>
      <c r="B57" s="11" t="s">
        <v>682</v>
      </c>
    </row>
    <row r="58" spans="1:2" x14ac:dyDescent="0.3">
      <c r="A58" s="10">
        <v>19055</v>
      </c>
      <c r="B58" s="11" t="s">
        <v>704</v>
      </c>
    </row>
    <row r="59" spans="1:2" x14ac:dyDescent="0.3">
      <c r="A59" s="10">
        <v>19057</v>
      </c>
      <c r="B59" s="30" t="s">
        <v>683</v>
      </c>
    </row>
    <row r="60" spans="1:2" x14ac:dyDescent="0.3">
      <c r="A60" s="10">
        <v>19066</v>
      </c>
      <c r="B60" s="11" t="s">
        <v>743</v>
      </c>
    </row>
    <row r="61" spans="1:2" x14ac:dyDescent="0.3">
      <c r="A61" s="10">
        <v>20008</v>
      </c>
      <c r="B61" s="11" t="s">
        <v>713</v>
      </c>
    </row>
    <row r="62" spans="1:2" x14ac:dyDescent="0.3">
      <c r="A62" s="24">
        <v>20010</v>
      </c>
      <c r="B62" s="11" t="s">
        <v>733</v>
      </c>
    </row>
    <row r="63" spans="1:2" x14ac:dyDescent="0.3">
      <c r="A63" s="10">
        <v>20012</v>
      </c>
      <c r="B63" s="30" t="s">
        <v>640</v>
      </c>
    </row>
    <row r="64" spans="1:2" x14ac:dyDescent="0.3">
      <c r="A64" s="10">
        <v>20028</v>
      </c>
      <c r="B64" s="30" t="s">
        <v>638</v>
      </c>
    </row>
    <row r="65" spans="1:2" x14ac:dyDescent="0.3">
      <c r="A65" s="10">
        <v>20029</v>
      </c>
      <c r="B65" s="30" t="s">
        <v>639</v>
      </c>
    </row>
    <row r="66" spans="1:2" x14ac:dyDescent="0.3">
      <c r="A66" s="10">
        <v>20034</v>
      </c>
      <c r="B66" s="30" t="s">
        <v>642</v>
      </c>
    </row>
    <row r="67" spans="1:2" x14ac:dyDescent="0.3">
      <c r="A67" s="10">
        <v>20036</v>
      </c>
      <c r="B67" s="30" t="s">
        <v>680</v>
      </c>
    </row>
    <row r="68" spans="1:2" x14ac:dyDescent="0.3">
      <c r="A68" s="10">
        <v>20061</v>
      </c>
      <c r="B68" s="11" t="s">
        <v>687</v>
      </c>
    </row>
    <row r="69" spans="1:2" x14ac:dyDescent="0.3">
      <c r="A69" s="10">
        <v>20061</v>
      </c>
      <c r="B69" s="11" t="s">
        <v>679</v>
      </c>
    </row>
    <row r="70" spans="1:2" x14ac:dyDescent="0.3">
      <c r="A70" s="10" t="s">
        <v>136</v>
      </c>
      <c r="B70" s="11" t="s">
        <v>741</v>
      </c>
    </row>
    <row r="71" spans="1:2" x14ac:dyDescent="0.3">
      <c r="A71" s="10" t="s">
        <v>88</v>
      </c>
      <c r="B71" s="11" t="s">
        <v>719</v>
      </c>
    </row>
    <row r="72" spans="1:2" x14ac:dyDescent="0.3">
      <c r="A72" s="10" t="s">
        <v>154</v>
      </c>
      <c r="B72" s="30" t="s">
        <v>635</v>
      </c>
    </row>
    <row r="73" spans="1:2" x14ac:dyDescent="0.3">
      <c r="A73" s="10" t="s">
        <v>694</v>
      </c>
      <c r="B73" s="11" t="s">
        <v>695</v>
      </c>
    </row>
    <row r="74" spans="1:2" x14ac:dyDescent="0.3">
      <c r="A74" s="10" t="s">
        <v>696</v>
      </c>
      <c r="B74" s="11" t="s">
        <v>697</v>
      </c>
    </row>
    <row r="75" spans="1:2" x14ac:dyDescent="0.3">
      <c r="A75" s="10" t="s">
        <v>55</v>
      </c>
      <c r="B75" s="30" t="s">
        <v>658</v>
      </c>
    </row>
    <row r="76" spans="1:2" x14ac:dyDescent="0.3">
      <c r="A76" s="10" t="s">
        <v>86</v>
      </c>
      <c r="B76" s="11" t="s">
        <v>712</v>
      </c>
    </row>
    <row r="77" spans="1:2" x14ac:dyDescent="0.3">
      <c r="A77" s="10" t="s">
        <v>152</v>
      </c>
      <c r="B77" s="11" t="s">
        <v>686</v>
      </c>
    </row>
    <row r="78" spans="1:2" x14ac:dyDescent="0.3">
      <c r="A78" s="10" t="s">
        <v>83</v>
      </c>
      <c r="B78" s="11" t="s">
        <v>710</v>
      </c>
    </row>
    <row r="79" spans="1:2" x14ac:dyDescent="0.3">
      <c r="A79" s="10" t="s">
        <v>140</v>
      </c>
      <c r="B79" s="30" t="s">
        <v>633</v>
      </c>
    </row>
    <row r="80" spans="1:2" x14ac:dyDescent="0.3">
      <c r="A80" s="10" t="s">
        <v>81</v>
      </c>
      <c r="B80" s="11" t="s">
        <v>740</v>
      </c>
    </row>
    <row r="81" spans="1:2" x14ac:dyDescent="0.3">
      <c r="A81" s="10" t="s">
        <v>57</v>
      </c>
      <c r="B81" s="30" t="s">
        <v>634</v>
      </c>
    </row>
    <row r="82" spans="1:2" x14ac:dyDescent="0.3">
      <c r="A82" s="10" t="s">
        <v>736</v>
      </c>
      <c r="B82" s="11" t="s">
        <v>737</v>
      </c>
    </row>
    <row r="83" spans="1:2" x14ac:dyDescent="0.3">
      <c r="A83" s="10" t="s">
        <v>738</v>
      </c>
      <c r="B83" s="11" t="s">
        <v>737</v>
      </c>
    </row>
    <row r="84" spans="1:2" x14ac:dyDescent="0.3">
      <c r="A84" s="10" t="s">
        <v>183</v>
      </c>
      <c r="B84" s="11" t="s">
        <v>693</v>
      </c>
    </row>
    <row r="85" spans="1:2" x14ac:dyDescent="0.3">
      <c r="A85" s="10" t="s">
        <v>138</v>
      </c>
      <c r="B85" s="11" t="s">
        <v>742</v>
      </c>
    </row>
    <row r="86" spans="1:2" x14ac:dyDescent="0.3">
      <c r="A86" s="10" t="s">
        <v>67</v>
      </c>
      <c r="B86" s="30" t="s">
        <v>660</v>
      </c>
    </row>
    <row r="87" spans="1:2" x14ac:dyDescent="0.3">
      <c r="A87" s="10" t="s">
        <v>59</v>
      </c>
      <c r="B87" s="30" t="s">
        <v>659</v>
      </c>
    </row>
    <row r="88" spans="1:2" x14ac:dyDescent="0.3">
      <c r="A88" s="10" t="s">
        <v>745</v>
      </c>
      <c r="B88" s="11" t="s">
        <v>746</v>
      </c>
    </row>
    <row r="89" spans="1:2" x14ac:dyDescent="0.3">
      <c r="A89" s="10" t="s">
        <v>698</v>
      </c>
      <c r="B89" s="11" t="s">
        <v>699</v>
      </c>
    </row>
    <row r="90" spans="1:2" x14ac:dyDescent="0.3">
      <c r="A90" s="10" t="s">
        <v>747</v>
      </c>
      <c r="B90" s="11" t="s">
        <v>748</v>
      </c>
    </row>
    <row r="91" spans="1:2" x14ac:dyDescent="0.3">
      <c r="A91" s="10" t="s">
        <v>156</v>
      </c>
      <c r="B91" s="11" t="s">
        <v>709</v>
      </c>
    </row>
    <row r="92" spans="1:2" x14ac:dyDescent="0.3">
      <c r="A92" s="10" t="s">
        <v>700</v>
      </c>
      <c r="B92" s="11" t="s">
        <v>701</v>
      </c>
    </row>
    <row r="93" spans="1:2" x14ac:dyDescent="0.3">
      <c r="A93" s="10" t="s">
        <v>69</v>
      </c>
      <c r="B93" s="30" t="s">
        <v>661</v>
      </c>
    </row>
    <row r="94" spans="1:2" x14ac:dyDescent="0.3">
      <c r="A94" s="10" t="s">
        <v>79</v>
      </c>
      <c r="B94" s="11" t="s">
        <v>739</v>
      </c>
    </row>
    <row r="95" spans="1:2" x14ac:dyDescent="0.3">
      <c r="A95" s="10" t="s">
        <v>90</v>
      </c>
      <c r="B95" s="11" t="s">
        <v>711</v>
      </c>
    </row>
    <row r="96" spans="1:2" x14ac:dyDescent="0.3">
      <c r="A96" s="10" t="s">
        <v>144</v>
      </c>
      <c r="B96" s="11" t="s">
        <v>726</v>
      </c>
    </row>
    <row r="97" spans="1:2" x14ac:dyDescent="0.3">
      <c r="A97" s="10" t="s">
        <v>142</v>
      </c>
      <c r="B97" s="30" t="s">
        <v>725</v>
      </c>
    </row>
    <row r="98" spans="1:2" x14ac:dyDescent="0.3">
      <c r="A98" s="10" t="s">
        <v>727</v>
      </c>
      <c r="B98" s="11" t="s">
        <v>728</v>
      </c>
    </row>
    <row r="99" spans="1:2" x14ac:dyDescent="0.3">
      <c r="A99" s="10" t="s">
        <v>731</v>
      </c>
      <c r="B99" s="11" t="s">
        <v>732</v>
      </c>
    </row>
    <row r="100" spans="1:2" x14ac:dyDescent="0.3">
      <c r="A100" s="10" t="s">
        <v>729</v>
      </c>
      <c r="B100" s="11" t="s">
        <v>730</v>
      </c>
    </row>
    <row r="101" spans="1:2" x14ac:dyDescent="0.3">
      <c r="A101" s="10" t="s">
        <v>148</v>
      </c>
      <c r="B101" s="30" t="s">
        <v>629</v>
      </c>
    </row>
    <row r="102" spans="1:2" x14ac:dyDescent="0.3">
      <c r="A102" s="24" t="s">
        <v>734</v>
      </c>
      <c r="B102" s="11" t="s">
        <v>735</v>
      </c>
    </row>
    <row r="103" spans="1:2" x14ac:dyDescent="0.3">
      <c r="A103" s="10" t="s">
        <v>159</v>
      </c>
      <c r="B103" s="30" t="s">
        <v>628</v>
      </c>
    </row>
    <row r="104" spans="1:2" x14ac:dyDescent="0.3">
      <c r="A104" s="10" t="s">
        <v>665</v>
      </c>
      <c r="B104" s="11" t="s">
        <v>666</v>
      </c>
    </row>
    <row r="105" spans="1:2" x14ac:dyDescent="0.3">
      <c r="A105" s="10" t="s">
        <v>40</v>
      </c>
      <c r="B105" s="30" t="s">
        <v>632</v>
      </c>
    </row>
    <row r="106" spans="1:2" x14ac:dyDescent="0.3">
      <c r="A106" s="10" t="s">
        <v>38</v>
      </c>
      <c r="B106" s="30" t="s">
        <v>631</v>
      </c>
    </row>
    <row r="107" spans="1:2" x14ac:dyDescent="0.3">
      <c r="A107" s="10" t="s">
        <v>34</v>
      </c>
      <c r="B107" s="30" t="s">
        <v>630</v>
      </c>
    </row>
    <row r="108" spans="1:2" x14ac:dyDescent="0.3">
      <c r="A108" s="10" t="s">
        <v>667</v>
      </c>
      <c r="B108" s="11" t="s">
        <v>668</v>
      </c>
    </row>
    <row r="109" spans="1:2" x14ac:dyDescent="0.3">
      <c r="A109" s="10" t="s">
        <v>669</v>
      </c>
      <c r="B109" s="30" t="s">
        <v>670</v>
      </c>
    </row>
    <row r="110" spans="1:2" x14ac:dyDescent="0.3">
      <c r="A110" s="10" t="s">
        <v>671</v>
      </c>
      <c r="B110" s="11" t="s">
        <v>672</v>
      </c>
    </row>
    <row r="111" spans="1:2" x14ac:dyDescent="0.3">
      <c r="A111" s="10" t="s">
        <v>73</v>
      </c>
      <c r="B111" s="30" t="s">
        <v>636</v>
      </c>
    </row>
    <row r="112" spans="1:2" x14ac:dyDescent="0.3">
      <c r="A112" s="10" t="s">
        <v>75</v>
      </c>
      <c r="B112" s="30" t="s">
        <v>637</v>
      </c>
    </row>
    <row r="113" spans="1:2" x14ac:dyDescent="0.3">
      <c r="A113" s="10"/>
      <c r="B113" s="11"/>
    </row>
    <row r="114" spans="1:2" x14ac:dyDescent="0.3">
      <c r="A114" s="10"/>
      <c r="B114" s="11"/>
    </row>
    <row r="115" spans="1:2" x14ac:dyDescent="0.3">
      <c r="A115" s="10"/>
      <c r="B115" s="11"/>
    </row>
    <row r="116" spans="1:2" x14ac:dyDescent="0.3">
      <c r="A116" s="10"/>
      <c r="B116" s="11"/>
    </row>
    <row r="117" spans="1:2" x14ac:dyDescent="0.3">
      <c r="A117" s="10"/>
      <c r="B117" s="11"/>
    </row>
    <row r="118" spans="1:2" x14ac:dyDescent="0.3">
      <c r="A118" s="10"/>
      <c r="B118" s="11"/>
    </row>
    <row r="119" spans="1:2" x14ac:dyDescent="0.3">
      <c r="A119" s="10"/>
      <c r="B119" s="14"/>
    </row>
    <row r="120" spans="1:2" x14ac:dyDescent="0.3">
      <c r="A120" s="10"/>
      <c r="B120" s="11"/>
    </row>
    <row r="121" spans="1:2" x14ac:dyDescent="0.3">
      <c r="A121" s="10"/>
      <c r="B121" s="11"/>
    </row>
    <row r="122" spans="1:2" x14ac:dyDescent="0.3">
      <c r="A122" s="10"/>
      <c r="B122" s="11"/>
    </row>
    <row r="123" spans="1:2" x14ac:dyDescent="0.3">
      <c r="A123" s="10"/>
      <c r="B123" s="11"/>
    </row>
    <row r="124" spans="1:2" x14ac:dyDescent="0.3">
      <c r="A124" s="10"/>
      <c r="B124" s="11"/>
    </row>
  </sheetData>
  <autoFilter ref="A1:C1" xr:uid="{CC1C5E9B-A495-4F6D-93DE-44F18717838B}">
    <sortState ref="A2:C112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11</vt:i4>
      </vt:variant>
      <vt:variant>
        <vt:lpstr>Intervalli denominati</vt:lpstr>
      </vt:variant>
      <vt:variant>
        <vt:i4>3</vt:i4>
      </vt:variant>
    </vt:vector>
  </HeadingPairs>
  <TitlesOfParts>
    <vt:vector size="14" baseType="lpstr">
      <vt:lpstr>INST.FIN. LOTTI</vt:lpstr>
      <vt:lpstr>INST.FIN. LOTTI_M9.1</vt:lpstr>
      <vt:lpstr>INST.FIN. LOTTI_M9.2</vt:lpstr>
      <vt:lpstr>M9.1 apr-24</vt:lpstr>
      <vt:lpstr>M9.2 apr-24</vt:lpstr>
      <vt:lpstr>PrepINST.FIN. M9.1</vt:lpstr>
      <vt:lpstr>PrepINST.FIN. M9.2</vt:lpstr>
      <vt:lpstr>NC</vt:lpstr>
      <vt:lpstr>CFR M9.1</vt:lpstr>
      <vt:lpstr>CFR M9.2</vt:lpstr>
      <vt:lpstr>Foglio5</vt:lpstr>
      <vt:lpstr>'INST.FIN. LOTTI'!Area_stampa</vt:lpstr>
      <vt:lpstr>'INST.FIN. LOTTI_M9.1'!Area_stampa</vt:lpstr>
      <vt:lpstr>'INST.FIN. LOTTI_M9.2'!Area_stampa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Tuffanelli</dc:creator>
  <cp:lastModifiedBy>Giacomo Tuffanelli</cp:lastModifiedBy>
  <cp:lastPrinted>2024-10-15T14:37:13Z</cp:lastPrinted>
  <dcterms:created xsi:type="dcterms:W3CDTF">2023-10-25T13:41:55Z</dcterms:created>
  <dcterms:modified xsi:type="dcterms:W3CDTF">2026-01-29T16:32:39Z</dcterms:modified>
</cp:coreProperties>
</file>